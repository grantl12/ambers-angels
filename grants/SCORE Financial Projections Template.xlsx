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6" yWindow="-96" windowWidth="23232" windowHeight="13872" tabRatio="801" firstSheet="0" activeTab="0" autoFilterDateGrouping="1"/>
  </bookViews>
  <sheets>
    <sheet xmlns:r="http://schemas.openxmlformats.org/officeDocument/2006/relationships" name="Directions" sheetId="1" state="visible" r:id="rId1"/>
    <sheet xmlns:r="http://schemas.openxmlformats.org/officeDocument/2006/relationships" name="1-StartingPoint" sheetId="2" state="visible" r:id="rId2"/>
    <sheet xmlns:r="http://schemas.openxmlformats.org/officeDocument/2006/relationships" name="2a-PayrollYear1" sheetId="3" state="visible" r:id="rId3"/>
    <sheet xmlns:r="http://schemas.openxmlformats.org/officeDocument/2006/relationships" name="2b-PayrollYrs1-3" sheetId="4" state="visible" r:id="rId4"/>
    <sheet xmlns:r="http://schemas.openxmlformats.org/officeDocument/2006/relationships" name="3a-SalesForecastYear1" sheetId="5" state="visible" r:id="rId5"/>
    <sheet xmlns:r="http://schemas.openxmlformats.org/officeDocument/2006/relationships" name="3b-SalesForecastYrs1-3" sheetId="6" state="visible" r:id="rId6"/>
    <sheet xmlns:r="http://schemas.openxmlformats.org/officeDocument/2006/relationships" name="4-AdditionalInputs" sheetId="7" state="visible" r:id="rId7"/>
    <sheet xmlns:r="http://schemas.openxmlformats.org/officeDocument/2006/relationships" name="5a-OpExYear1" sheetId="8" state="visible" r:id="rId8"/>
    <sheet xmlns:r="http://schemas.openxmlformats.org/officeDocument/2006/relationships" name="5b-OpExYrs1-3" sheetId="9" state="visible" r:id="rId9"/>
    <sheet xmlns:r="http://schemas.openxmlformats.org/officeDocument/2006/relationships" name="6a-CashFlowYear1" sheetId="10" state="visible" r:id="rId10"/>
    <sheet xmlns:r="http://schemas.openxmlformats.org/officeDocument/2006/relationships" name="6b-CashFlowYrs1-3" sheetId="11" state="visible" r:id="rId11"/>
    <sheet xmlns:r="http://schemas.openxmlformats.org/officeDocument/2006/relationships" name="7a-IncomeStatementYear1" sheetId="12" state="visible" r:id="rId12"/>
    <sheet xmlns:r="http://schemas.openxmlformats.org/officeDocument/2006/relationships" name="7b-IncomeStatementYrs1-3" sheetId="13" state="visible" r:id="rId13"/>
    <sheet xmlns:r="http://schemas.openxmlformats.org/officeDocument/2006/relationships" name="8-BalanceSheet" sheetId="14" state="visible" r:id="rId14"/>
    <sheet xmlns:r="http://schemas.openxmlformats.org/officeDocument/2006/relationships" name="BreakevenAnalysis" sheetId="15" state="visible" r:id="rId15"/>
    <sheet xmlns:r="http://schemas.openxmlformats.org/officeDocument/2006/relationships" name="FinancialRatios" sheetId="16" state="visible" r:id="rId16"/>
    <sheet xmlns:r="http://schemas.openxmlformats.org/officeDocument/2006/relationships" name="DiagnosticTools" sheetId="17" state="visible" r:id="rId17"/>
    <sheet xmlns:r="http://schemas.openxmlformats.org/officeDocument/2006/relationships" name="COGS Calculator" sheetId="18" state="visible" r:id="rId18"/>
    <sheet xmlns:r="http://schemas.openxmlformats.org/officeDocument/2006/relationships" name="Amortization&amp;Depreciation" sheetId="19" state="visible" r:id="rId19"/>
  </sheets>
  <definedNames>
    <definedName name="AddLoans">'1-StartingPoint'!$D$36</definedName>
    <definedName name="Advertising">'1-StartingPoint'!$C$26</definedName>
    <definedName name="Annual_Interest_Rate">#REF!</definedName>
    <definedName name="Beg_Bal">#REF!</definedName>
    <definedName name="Buildings">'1-StartingPoint'!$C$10</definedName>
    <definedName name="Category1">'3a-SalesForecastYear1'!$B$9</definedName>
    <definedName name="Category1_Annual_Sales">'3a-SalesForecastYear1'!$O$19</definedName>
    <definedName name="Category1_SalesPrice">'3a-SalesForecastYear1'!#REF!</definedName>
    <definedName name="Category2">'3a-SalesForecastYear1'!$B$10</definedName>
    <definedName name="Category2_Annual_Sales">'3a-SalesForecastYear1'!$O$25</definedName>
    <definedName name="Category2_SalesPrice">'3a-SalesForecastYear1'!#REF!</definedName>
    <definedName name="Category3">'3a-SalesForecastYear1'!$B$11</definedName>
    <definedName name="Category3_Annual_Sales">'3a-SalesForecastYear1'!$O$31</definedName>
    <definedName name="Category3_SalesPrice">'3a-SalesForecastYear1'!#REF!</definedName>
    <definedName name="Category4">'3a-SalesForecastYear1'!$B$12</definedName>
    <definedName name="Category4_Annual_Sales">'3a-SalesForecastYear1'!$O$37</definedName>
    <definedName name="Category4_SalesPrice">'3a-SalesForecastYear1'!#REF!</definedName>
    <definedName name="Category5">'3a-SalesForecastYear1'!$B$13</definedName>
    <definedName name="Category5_Annual_Sales">'3a-SalesForecastYear1'!$O$43</definedName>
    <definedName name="Category5_SalesPrice">'3a-SalesForecastYear1'!#REF!</definedName>
    <definedName name="Category6">'3a-SalesForecastYear1'!$B$14</definedName>
    <definedName name="Category6_Annual_Sales">'3a-SalesForecastYear1'!$O$49</definedName>
    <definedName name="Category6_SalesPrice">'3a-SalesForecastYear1'!#REF!</definedName>
    <definedName name="Catergory6">'3a-SalesForecastYear1'!$B$14</definedName>
    <definedName name="CCDebt">'1-StartingPoint'!$D$39</definedName>
    <definedName name="COGS_Annual_Total">'3a-SalesForecastYear1'!$O$54</definedName>
    <definedName name="CommLoan">'1-StartingPoint'!$D$37</definedName>
    <definedName name="CommMortgage">'1-StartingPoint'!$D$38</definedName>
    <definedName name="ContingencyCash">'1-StartingPoint'!#REF!</definedName>
    <definedName name="Equipment">'1-StartingPoint'!$C$12</definedName>
    <definedName name="Extra_Pay">#REF!</definedName>
    <definedName name="Furniture">'1-StartingPoint'!$C$13</definedName>
    <definedName name="Growth_Rate_Yr2">'3b-SalesForecastYrs1-3'!$C$7</definedName>
    <definedName name="Growth_Rate_Yr3">'3b-SalesForecastYrs1-3'!$C$8</definedName>
    <definedName name="Info_Entered">#REF!</definedName>
    <definedName name="Int">#REF!</definedName>
    <definedName name="InterestRate_ShortTerm">#REF!</definedName>
    <definedName name="Inventory">'1-StartingPoint'!$C$21</definedName>
    <definedName name="Land">'1-StartingPoint'!$C$9</definedName>
    <definedName name="Last_Row">IF(Values_Entered,Header_Row+Number_of_Payments,Header_Row)</definedName>
    <definedName name="LeaseImprovements">'1-StartingPoint'!$C$11</definedName>
    <definedName name="LegalAcctFees">'1-StartingPoint'!$C$22</definedName>
    <definedName name="Licenses">'1-StartingPoint'!$C$27</definedName>
    <definedName name="Loan_Amount">#REF!</definedName>
    <definedName name="Loan_Term_Years">#REF!</definedName>
    <definedName name="LoanAmount_ShortTerm">#REF!</definedName>
    <definedName name="LoanTermYears_ShortTerm">#REF!</definedName>
    <definedName name="Margin_Annual_Total">'3a-SalesForecastYear1'!$O$55</definedName>
    <definedName name="Misc_Expenses">'5a-OpExYear1'!$O$19</definedName>
    <definedName name="Monthly_Payment_LongTerm">#REF!</definedName>
    <definedName name="NetIncomeY1">'7b-IncomeStatementYrs1-3'!$C$59</definedName>
    <definedName name="NetIncomeY2">'7b-IncomeStatementYrs1-3'!$E$59</definedName>
    <definedName name="NetIncomeY3">'7b-IncomeStatementYrs1-3'!$G$59</definedName>
    <definedName name="Number_of_Payments">MATCH(0.01,End_Bal,-1)+1</definedName>
    <definedName name="OfficeSupplies_Expenses">'5a-OpExYear1'!$O$20</definedName>
    <definedName name="Other_Expenses">'5a-OpExYear1'!$O$21</definedName>
    <definedName name="OtherBankDebt">'1-StartingPoint'!$D$41</definedName>
    <definedName name="OtherFixedAssets">'1-StartingPoint'!$C$15</definedName>
    <definedName name="OtherStartUp">'1-StartingPoint'!$C$28</definedName>
    <definedName name="OutsideInvest">'1-StartingPoint'!$D$35</definedName>
    <definedName name="OwnerEquity">'1-StartingPoint'!$D$34</definedName>
    <definedName name="Pay_Num">#REF!</definedName>
    <definedName name="Payments_per_Year">#REF!</definedName>
    <definedName name="PreOpenWages">'1-StartingPoint'!$C$19</definedName>
    <definedName name="PrepaidInsurance">'1-StartingPoint'!$C$20</definedName>
    <definedName name="PricePerUnit_Annual_Total">'3a-SalesForecastYear1'!#REF!</definedName>
    <definedName name="Princ">#REF!</definedName>
    <definedName name="Projected_Yr2_COGS">'3b-SalesForecastYrs1-3'!#REF!</definedName>
    <definedName name="RentDeposit">'1-StartingPoint'!$C$23</definedName>
    <definedName name="Sales_Annual_Total">'3a-SalesForecastYear1'!$O$53</definedName>
    <definedName name="SalesForecast_yr1">'3b-SalesForecastYrs1-3'!#REF!</definedName>
    <definedName name="SalesForecast_yr2">'3b-SalesForecastYrs1-3'!#REF!</definedName>
    <definedName name="SalesForecast_yr3">'3b-SalesForecastYrs1-3'!#REF!</definedName>
    <definedName name="Sched_Pay">#REF!</definedName>
    <definedName name="Scheduled_Extra_Payments">#REF!</definedName>
    <definedName name="Scheduled_Monthly_Payment">#REF!</definedName>
    <definedName name="Supplies">'1-StartingPoint'!$C$25</definedName>
    <definedName name="Total_Amount_Paid">#REF!</definedName>
    <definedName name="Total_Fixed_Assets">'1-StartingPoint'!$C$8:$C$15</definedName>
    <definedName name="Total_Interest_Paid">#REF!</definedName>
    <definedName name="Total_Pay">#REF!</definedName>
    <definedName name="Total_Payments_LongTerm">#REF!</definedName>
    <definedName name="TotalFixedAssets">'1-StartingPoint'!$C$16</definedName>
    <definedName name="TotalFunding">'1-StartingPoint'!$D$42</definedName>
    <definedName name="TotalOperatingCapital">'1-StartingPoint'!$C$30</definedName>
    <definedName name="TotalRequiredFunds">'1-StartingPoint'!$C$31</definedName>
    <definedName name="Unit1">'3a-SalesForecastYear1'!$C$9</definedName>
    <definedName name="Unit1_Annual">'3a-SalesForecastYear1'!$O$18</definedName>
    <definedName name="Unit1_Annual_Sales">'3a-SalesForecastYear1'!$O$19</definedName>
    <definedName name="Unit2">'3a-SalesForecastYear1'!$C$10</definedName>
    <definedName name="Unit2_Annual">'3a-SalesForecastYear1'!$O$24</definedName>
    <definedName name="Unit2_Annual_Sales">'3a-SalesForecastYear1'!$O$25</definedName>
    <definedName name="Unit3">'3a-SalesForecastYear1'!$C$11</definedName>
    <definedName name="Unit3_Annual">'3a-SalesForecastYear1'!$O$30</definedName>
    <definedName name="Unit3_Annual_Sales">'3a-SalesForecastYear1'!$O$31</definedName>
    <definedName name="Unit4">'3a-SalesForecastYear1'!$C$12</definedName>
    <definedName name="Unit4_Annual">'3a-SalesForecastYear1'!$O$36</definedName>
    <definedName name="Unit5">'3a-SalesForecastYear1'!$C$13</definedName>
    <definedName name="Unit5_Annual">'3a-SalesForecastYear1'!$O$42</definedName>
    <definedName name="Unit6">'3a-SalesForecastYear1'!$C$14</definedName>
    <definedName name="Unit6_Annual">'3a-SalesForecastYear1'!$O$48</definedName>
    <definedName name="Units_Annual_Total">'3a-SalesForecastYear1'!$O$52</definedName>
    <definedName name="UtilityDeposit">'1-StartingPoint'!$C$24</definedName>
    <definedName name="Values_Entered">IF(Loan_Amount*Interest_Rate*Loan_Years*Loan_Start&gt;0,1,0)</definedName>
    <definedName name="VehicleLoan">'1-StartingPoint'!$D$40</definedName>
    <definedName name="Vehicles">'1-StartingPoint'!$C$14</definedName>
    <definedName name="Working_Capital">'1-StartingPoint'!$C$29</definedName>
    <definedName name="WorkingCapital">'1-StartingPoint'!$C$28</definedName>
    <definedName name="Y1EndingCashBal">'6a-CashFlowYear1'!$N$33</definedName>
    <definedName name="YearlyPayments_ShortTerm">#REF!</definedName>
    <definedName name="_xlnm.Print_Area" localSheetId="0">'Directions'!$A$6:$H$44</definedName>
    <definedName name="_xlnm.Print_Area" localSheetId="1">'1-StartingPoint'!$B$4:$H$52</definedName>
    <definedName name="_xlnm.Print_Area" localSheetId="2">'2a-PayrollYear1'!$A$4:$R$25</definedName>
    <definedName name="_xlnm.Print_Area" localSheetId="3">'2b-PayrollYrs1-3'!$B$4:$G$26</definedName>
    <definedName name="Hours" localSheetId="4">'3a-SalesForecastYear1'!$C$9:$C$14</definedName>
    <definedName name="_xlnm.Print_Area" localSheetId="4">'3a-SalesForecastYear1'!$B$4:$Q$55</definedName>
    <definedName name="_xlnm.Print_Titles" localSheetId="5">'3b-SalesForecastYrs1-3'!$A:$A</definedName>
    <definedName name="_xlnm.Print_Area" localSheetId="5">'3b-SalesForecastYrs1-3'!$A$4:$AF$49</definedName>
    <definedName name="_xlnm.Print_Area" localSheetId="6">'4-AdditionalInputs'!$B$4:$R$44</definedName>
    <definedName name="_xlnm.Print_Area" localSheetId="7">'5a-OpExYear1'!$B$4:$O$38</definedName>
    <definedName name="_xlnm.Print_Area" localSheetId="8">'5b-OpExYrs1-3'!$B$4:$G$36</definedName>
    <definedName name="_xlnm.Print_Area" localSheetId="9">'6a-CashFlowYear1'!$B$4:$O$34</definedName>
    <definedName name="_xlnm.Print_Titles" localSheetId="10">'6b-CashFlowYrs1-3'!$A:$A</definedName>
    <definedName name="_xlnm.Print_Area" localSheetId="10">'6b-CashFlowYrs1-3'!$A$3:$AB$33</definedName>
    <definedName name="_xlnm.Print_Area" localSheetId="11">'7a-IncomeStatementYear1'!$B$4:$O$60</definedName>
    <definedName name="_xlnm.Print_Area" localSheetId="12">'7b-IncomeStatementYrs1-3'!$B$4:$H$59</definedName>
    <definedName name="_xlnm.Print_Area" localSheetId="13">'8-BalanceSheet'!$C$4:$F$46</definedName>
    <definedName name="_xlnm.Print_Area" localSheetId="14">'BreakevenAnalysis'!$B$4:$C$20</definedName>
    <definedName name="_xlnm.Print_Area" localSheetId="15">'FinancialRatios'!$B$4:$G$28</definedName>
    <definedName name="Annual_Interest_Rate" localSheetId="16">#REF!</definedName>
    <definedName name="Beg_Bal" localSheetId="16">#REF!</definedName>
    <definedName name="Extra_Pay" localSheetId="16">#REF!</definedName>
    <definedName name="Info_Entered" localSheetId="16">#REF!</definedName>
    <definedName name="Int" localSheetId="16">#REF!</definedName>
    <definedName name="InterestRate_ShortTerm" localSheetId="16">#REF!</definedName>
    <definedName name="Last_Row" localSheetId="16">IF(DiagnosticTools!Values_Entered,Header_Row+DiagnosticTools!Number_of_Payments,Header_Row)</definedName>
    <definedName name="Loan_Amount" localSheetId="16">#REF!</definedName>
    <definedName name="Loan_Term_Years" localSheetId="16">#REF!</definedName>
    <definedName name="LoanAmount_ShortTerm" localSheetId="16">#REF!</definedName>
    <definedName name="LoanTermYears_ShortTerm" localSheetId="16">#REF!</definedName>
    <definedName name="Monthly_Payment_LongTerm" localSheetId="16">#REF!</definedName>
    <definedName name="Number_of_Payments" localSheetId="16">MATCH(0.01,End_Bal,-1)+1</definedName>
    <definedName name="Pay_Num" localSheetId="16">#REF!</definedName>
    <definedName name="Payments_per_Year" localSheetId="16">#REF!</definedName>
    <definedName name="Princ" localSheetId="16">#REF!</definedName>
    <definedName name="Sched_Pay" localSheetId="16">#REF!</definedName>
    <definedName name="Scheduled_Extra_Payments" localSheetId="16">#REF!</definedName>
    <definedName name="Scheduled_Monthly_Payment" localSheetId="16">#REF!</definedName>
    <definedName name="Total_Amount_Paid" localSheetId="16">#REF!</definedName>
    <definedName name="Total_Interest_Paid" localSheetId="16">#REF!</definedName>
    <definedName name="Total_Pay" localSheetId="16">#REF!</definedName>
    <definedName name="Total_Payments_LongTerm" localSheetId="16">#REF!</definedName>
    <definedName name="Values_Entered" localSheetId="16">IF(DiagnosticTools!Loan_Amount*Interest_Rate*Loan_Years*Loan_Start&gt;0,1,0)</definedName>
    <definedName name="YearlyPayments_ShortTerm" localSheetId="16">#REF!</definedName>
    <definedName name="_xlnm.Print_Area" localSheetId="16">'DiagnosticTools'!$B$4:$D$36</definedName>
    <definedName name="_xlnm.Print_Area" localSheetId="17">'COGS Calculator'!$B$4:$C$26</definedName>
    <definedName name="_xlnm.Print_Area" localSheetId="18">'Amortization&amp;Depreciation'!$B$4:$O$156</definedName>
  </definedNames>
  <calcPr calcId="191029" fullCalcOnLoad="1"/>
</workbook>
</file>

<file path=xl/styles.xml><?xml version="1.0" encoding="utf-8"?>
<styleSheet xmlns="http://schemas.openxmlformats.org/spreadsheetml/2006/main">
  <numFmts count="9">
    <numFmt numFmtId="164" formatCode="_(* #,##0_);_(* \(#,##0\);_(* &quot;-&quot;??_);_(@_)"/>
    <numFmt numFmtId="165" formatCode="_(&quot;$&quot;* #,##0.00_);_(&quot;$&quot;* \(#,##0.00\);_(&quot;$&quot;* &quot;-&quot;??_);_(@_)"/>
    <numFmt numFmtId="166" formatCode="0.0%"/>
    <numFmt numFmtId="167" formatCode="&quot;$&quot;#,##0.00_);[Red]\(&quot;$&quot;#,##0.00\)"/>
    <numFmt numFmtId="168" formatCode="0_);[Red]\(0\)"/>
    <numFmt numFmtId="169" formatCode="_(&quot;$&quot;* #,##0_);_(&quot;$&quot;* \(#,##0\);_(&quot;$&quot;* &quot;-&quot;??_);_(@_)"/>
    <numFmt numFmtId="170" formatCode="&quot;$&quot;#,##0_);[Red]\(&quot;$&quot;#,##0\)"/>
    <numFmt numFmtId="171" formatCode="0.0"/>
    <numFmt numFmtId="172" formatCode="&quot;$&quot;#,##0.00"/>
  </numFmts>
  <fonts count="64">
    <font>
      <name val="Calibri"/>
      <family val="2"/>
      <color theme="1"/>
      <sz val="11"/>
      <scheme val="minor"/>
    </font>
    <font>
      <name val="Arial"/>
      <family val="2"/>
      <sz val="11"/>
    </font>
    <font>
      <name val="Arial"/>
      <family val="2"/>
      <b val="1"/>
      <sz val="18"/>
    </font>
    <font>
      <name val="Calibri"/>
      <family val="2"/>
      <sz val="8"/>
    </font>
    <font>
      <name val="Tahoma"/>
      <family val="2"/>
      <color indexed="81"/>
      <sz val="9"/>
    </font>
    <font>
      <name val="Tahoma"/>
      <family val="2"/>
      <b val="1"/>
      <color indexed="81"/>
      <sz val="9"/>
    </font>
    <font>
      <name val="Gill Sans MT"/>
      <family val="2"/>
      <color indexed="8"/>
      <sz val="11"/>
    </font>
    <font>
      <name val="Gill Sans MT"/>
      <family val="2"/>
      <sz val="9"/>
    </font>
    <font>
      <name val="Gill Sans MT"/>
      <family val="2"/>
      <sz val="11"/>
    </font>
    <font>
      <name val="Gill Sans MT"/>
      <family val="2"/>
      <b val="1"/>
      <sz val="9"/>
    </font>
    <font>
      <name val="Gill Sans MT"/>
      <family val="2"/>
      <b val="1"/>
      <color indexed="10"/>
      <sz val="9"/>
    </font>
    <font>
      <name val="Gill Sans MT"/>
      <family val="2"/>
      <b val="1"/>
      <color indexed="81"/>
      <sz val="11"/>
    </font>
    <font>
      <name val="Calibri"/>
      <family val="2"/>
      <color indexed="8"/>
      <sz val="11"/>
    </font>
    <font>
      <name val="Gill Sans MT"/>
      <family val="2"/>
      <color indexed="8"/>
      <sz val="11"/>
    </font>
    <font>
      <name val="Gill Sans MT"/>
      <family val="2"/>
      <b val="1"/>
      <color indexed="8"/>
      <sz val="11"/>
    </font>
    <font>
      <name val="Gill Sans MT"/>
      <family val="2"/>
      <b val="1"/>
      <color indexed="81"/>
      <sz val="14"/>
    </font>
    <font>
      <name val="Gill Sans MT"/>
      <family val="2"/>
      <color indexed="8"/>
      <sz val="9"/>
    </font>
    <font>
      <name val="Gill Sans MT"/>
      <family val="2"/>
      <b val="1"/>
      <color indexed="9"/>
      <sz val="9"/>
    </font>
    <font>
      <name val="Gill Sans MT"/>
      <family val="2"/>
      <color indexed="9"/>
      <sz val="9"/>
    </font>
    <font>
      <name val="Gill Sans MT"/>
      <family val="2"/>
      <color indexed="81"/>
      <sz val="11"/>
    </font>
    <font>
      <name val="Tahoma"/>
      <family val="2"/>
      <b val="1"/>
      <color indexed="81"/>
      <sz val="8"/>
    </font>
    <font>
      <name val="Calibri"/>
      <family val="2"/>
      <color theme="10"/>
      <sz val="11"/>
      <u val="single"/>
      <scheme val="minor"/>
    </font>
    <font>
      <name val="Arial"/>
      <family val="2"/>
      <b val="1"/>
      <sz val="9"/>
    </font>
    <font>
      <name val="Arial"/>
      <family val="2"/>
      <sz val="9"/>
    </font>
    <font>
      <name val="Arial Black"/>
      <family val="2"/>
      <b val="1"/>
      <color indexed="81"/>
      <sz val="11"/>
    </font>
    <font>
      <name val="Gill Sans MT"/>
      <family val="2"/>
      <b val="1"/>
      <color indexed="8"/>
      <sz val="9"/>
    </font>
    <font>
      <name val="Gill Sans MT"/>
      <family val="2"/>
      <b val="1"/>
      <color indexed="57"/>
      <sz val="9"/>
    </font>
    <font>
      <name val="Gill Sans MT"/>
      <family val="2"/>
      <color theme="1"/>
      <sz val="9"/>
    </font>
    <font>
      <name val="Gill Sans MT"/>
      <family val="2"/>
      <b val="1"/>
      <i val="1"/>
      <color indexed="8"/>
      <sz val="9"/>
    </font>
    <font>
      <name val="Calibri"/>
      <family val="2"/>
      <sz val="9"/>
      <u val="single"/>
    </font>
    <font>
      <name val="Gill Sans MT"/>
      <family val="2"/>
      <color indexed="30"/>
      <sz val="9"/>
    </font>
    <font>
      <name val="Gill Sans MT"/>
      <family val="2"/>
      <color indexed="57"/>
      <sz val="9"/>
    </font>
    <font>
      <name val="Gill Sans MT"/>
      <family val="2"/>
      <b val="1"/>
      <sz val="7"/>
    </font>
    <font>
      <name val="Calibri"/>
      <family val="2"/>
      <sz val="9"/>
      <scheme val="minor"/>
    </font>
    <font>
      <name val="Gill Sans MT"/>
      <family val="2"/>
      <color indexed="9"/>
      <sz val="9"/>
      <u val="single"/>
    </font>
    <font>
      <name val="Gill Sans MT"/>
      <family val="2"/>
      <sz val="9"/>
      <u val="single"/>
    </font>
    <font>
      <name val="Gill Sans MT"/>
      <family val="2"/>
      <color indexed="10"/>
      <sz val="9"/>
    </font>
    <font>
      <name val="Gill Sans MT"/>
      <family val="2"/>
      <b val="1"/>
      <color indexed="11"/>
      <sz val="9"/>
    </font>
    <font>
      <name val="Gill Sans MT"/>
      <family val="2"/>
      <b val="1"/>
      <sz val="11"/>
    </font>
    <font>
      <name val="Gill Sans MT"/>
      <family val="2"/>
      <b val="1"/>
      <color indexed="9"/>
      <sz val="9"/>
      <u val="single"/>
    </font>
    <font>
      <name val="Gill Sans MT"/>
      <family val="2"/>
      <b val="1"/>
      <color rgb="FF44C8F5"/>
      <sz val="9"/>
    </font>
    <font>
      <name val="Gill Sans MT"/>
      <family val="2"/>
      <b val="1"/>
      <color theme="3"/>
      <sz val="11"/>
    </font>
    <font>
      <name val="Gill Sans MT"/>
      <family val="2"/>
      <b val="1"/>
      <color theme="3"/>
      <sz val="9"/>
    </font>
    <font>
      <name val="Gill Sans MT"/>
      <family val="2"/>
      <color theme="3"/>
      <sz val="9"/>
    </font>
    <font>
      <name val="Gill Sans MT"/>
      <family val="2"/>
      <color indexed="8"/>
      <sz val="10"/>
    </font>
    <font>
      <name val="Gill Sans MT"/>
      <family val="2"/>
      <b val="1"/>
      <sz val="10"/>
    </font>
    <font>
      <name val="Gill Sans MT"/>
      <family val="2"/>
      <b val="1"/>
      <color indexed="57"/>
      <sz val="10"/>
    </font>
    <font>
      <name val="Gill Sans MT"/>
      <family val="2"/>
      <b val="1"/>
      <color indexed="8"/>
      <sz val="10"/>
    </font>
    <font>
      <name val="Gill Sans MT"/>
      <family val="2"/>
      <sz val="10"/>
    </font>
    <font>
      <name val="Gill Sans MT"/>
      <family val="2"/>
      <b val="1"/>
      <color theme="3"/>
      <sz val="10"/>
    </font>
    <font>
      <name val="Gill Sans MT"/>
      <family val="2"/>
      <b val="1"/>
      <color indexed="9"/>
      <sz val="10"/>
    </font>
    <font>
      <name val="Gill Sans MT"/>
      <family val="2"/>
      <b val="1"/>
      <color indexed="10"/>
      <sz val="10"/>
    </font>
    <font>
      <name val="Calibri"/>
      <family val="2"/>
      <sz val="10"/>
      <u val="single"/>
    </font>
    <font>
      <name val="Gill Sans MT"/>
      <family val="2"/>
      <b val="1"/>
      <color indexed="12"/>
      <sz val="10"/>
    </font>
    <font>
      <name val="Arial"/>
      <family val="2"/>
      <b val="1"/>
      <color indexed="10"/>
      <sz val="10"/>
    </font>
    <font>
      <name val="Calibri"/>
      <family val="2"/>
      <color theme="1"/>
      <sz val="11"/>
      <scheme val="minor"/>
    </font>
    <font>
      <name val="Gill Sans MT"/>
      <family val="2"/>
      <color theme="0"/>
      <sz val="11"/>
    </font>
    <font>
      <name val="Arial"/>
      <family val="2"/>
      <color theme="0"/>
      <sz val="10"/>
    </font>
    <font>
      <name val="Gill Sans MT"/>
      <family val="2"/>
      <color theme="0"/>
      <sz val="9"/>
    </font>
    <font>
      <name val="Gill Sans MT"/>
      <family val="2"/>
      <b val="1"/>
      <color theme="0"/>
      <sz val="9"/>
    </font>
    <font>
      <name val="Gill Sans MT"/>
      <family val="2"/>
      <color theme="1"/>
      <sz val="11"/>
    </font>
    <font>
      <name val="Gill Sans MT"/>
      <family val="2"/>
      <color indexed="81"/>
      <sz val="10"/>
    </font>
    <font>
      <name val="Gill Sans MT"/>
      <family val="2"/>
      <i val="1"/>
      <color indexed="8"/>
      <sz val="11"/>
    </font>
    <font>
      <name val="Gill Sans MT"/>
      <family val="2"/>
      <color rgb="FF000000"/>
      <sz val="9"/>
    </font>
  </fonts>
  <fills count="14">
    <fill>
      <patternFill/>
    </fill>
    <fill>
      <patternFill patternType="gray125"/>
    </fill>
    <fill>
      <patternFill patternType="solid">
        <fgColor indexed="21"/>
      </patternFill>
    </fill>
    <fill>
      <patternFill patternType="solid">
        <fgColor indexed="38"/>
      </patternFill>
    </fill>
    <fill>
      <patternFill patternType="solid">
        <fgColor indexed="9"/>
        <bgColor indexed="9"/>
      </patternFill>
    </fill>
    <fill>
      <patternFill patternType="solid">
        <fgColor indexed="9"/>
        <bgColor indexed="64"/>
      </patternFill>
    </fill>
    <fill>
      <patternFill patternType="solid">
        <fgColor indexed="43"/>
        <bgColor indexed="64"/>
      </patternFill>
    </fill>
    <fill>
      <patternFill patternType="solid">
        <fgColor rgb="FF44C8F5"/>
        <bgColor indexed="64"/>
      </patternFill>
    </fill>
    <fill>
      <patternFill patternType="solid">
        <fgColor rgb="FFFFC95B"/>
        <bgColor indexed="64"/>
      </patternFill>
    </fill>
    <fill>
      <patternFill patternType="solid">
        <fgColor theme="9"/>
        <bgColor indexed="64"/>
      </patternFill>
    </fill>
    <fill>
      <patternFill patternType="solid">
        <fgColor rgb="FF8ACC9E"/>
        <bgColor indexed="64"/>
      </patternFill>
    </fill>
    <fill>
      <patternFill patternType="solid">
        <fgColor theme="4"/>
        <bgColor indexed="64"/>
      </patternFill>
    </fill>
    <fill>
      <patternFill patternType="solid">
        <fgColor theme="0"/>
        <bgColor indexed="64"/>
      </patternFill>
    </fill>
    <fill>
      <patternFill patternType="solid">
        <fgColor rgb="FFFFFF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ck">
        <color theme="3"/>
      </bottom>
      <diagonal/>
    </border>
    <border>
      <left/>
      <right style="thin">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ck">
        <color theme="3"/>
      </bottom>
      <diagonal/>
    </border>
    <border>
      <left/>
      <right/>
      <top style="thin">
        <color indexed="64"/>
      </top>
      <bottom style="thick">
        <color theme="3"/>
      </bottom>
      <diagonal/>
    </border>
    <border>
      <left/>
      <right style="medium">
        <color indexed="64"/>
      </right>
      <top style="thin">
        <color indexed="64"/>
      </top>
      <bottom style="thick">
        <color theme="3"/>
      </bottom>
      <diagonal/>
    </border>
    <border>
      <left style="thin">
        <color indexed="64"/>
      </left>
      <right style="thin">
        <color indexed="64"/>
      </right>
      <top style="thin">
        <color indexed="64"/>
      </top>
      <bottom style="thick">
        <color rgb="FF0070C0"/>
      </bottom>
      <diagonal/>
    </border>
    <border>
      <left style="thin">
        <color indexed="64"/>
      </left>
      <right/>
      <top style="thin">
        <color indexed="64"/>
      </top>
      <bottom style="thick">
        <color rgb="FF0070C0"/>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ck">
        <color theme="3"/>
      </bottom>
      <diagonal/>
    </border>
    <border>
      <left/>
      <right style="thin">
        <color indexed="64"/>
      </right>
      <top/>
      <bottom/>
      <diagonal/>
    </border>
    <border>
      <left style="thin">
        <color indexed="64"/>
      </left>
      <right style="medium">
        <color indexed="64"/>
      </right>
      <top style="thin">
        <color indexed="64"/>
      </top>
      <bottom style="thick">
        <color theme="3"/>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3">
    <xf numFmtId="0" fontId="55" fillId="0" borderId="0"/>
    <xf numFmtId="43" fontId="12" fillId="0" borderId="0"/>
    <xf numFmtId="44" fontId="12" fillId="0" borderId="0"/>
    <xf numFmtId="0" fontId="21" fillId="0" borderId="0"/>
    <xf numFmtId="0" fontId="1" fillId="2" borderId="0"/>
    <xf numFmtId="9" fontId="12" fillId="0" borderId="0"/>
    <xf numFmtId="0" fontId="2" fillId="3" borderId="0"/>
    <xf numFmtId="49" fontId="9" fillId="10" borderId="1" applyAlignment="1">
      <alignment wrapText="1"/>
    </xf>
    <xf numFmtId="1" fontId="8" fillId="11" borderId="15"/>
    <xf numFmtId="1" fontId="38" fillId="9" borderId="15"/>
    <xf numFmtId="43" fontId="55" fillId="0" borderId="0"/>
    <xf numFmtId="44" fontId="55" fillId="0" borderId="0"/>
    <xf numFmtId="9" fontId="55" fillId="0" borderId="0"/>
  </cellStyleXfs>
  <cellXfs count="580">
    <xf numFmtId="0" fontId="0" fillId="0" borderId="0" pivotButton="0" quotePrefix="0" xfId="0"/>
    <xf numFmtId="0" fontId="13" fillId="0" borderId="0" pivotButton="0" quotePrefix="0" xfId="0"/>
    <xf numFmtId="0" fontId="14" fillId="0" borderId="0" pivotButton="0" quotePrefix="0" xfId="0"/>
    <xf numFmtId="0" fontId="6" fillId="0" borderId="0" pivotButton="0" quotePrefix="0" xfId="4"/>
    <xf numFmtId="0" fontId="13" fillId="0" borderId="0" applyAlignment="1" pivotButton="0" quotePrefix="0" xfId="0">
      <alignment horizontal="right"/>
    </xf>
    <xf numFmtId="0" fontId="7" fillId="0" borderId="0" pivotButton="0" quotePrefix="0" xfId="0"/>
    <xf numFmtId="0" fontId="10" fillId="0" borderId="0" pivotButton="0" quotePrefix="0" xfId="0"/>
    <xf numFmtId="0" fontId="7" fillId="0" borderId="1" pivotButton="0" quotePrefix="0" xfId="0"/>
    <xf numFmtId="0" fontId="7" fillId="0" borderId="0" applyAlignment="1" pivotButton="0" quotePrefix="0" xfId="0">
      <alignment vertical="center" wrapText="1"/>
    </xf>
    <xf numFmtId="0" fontId="9" fillId="0" borderId="0" pivotButton="0" quotePrefix="0" xfId="0"/>
    <xf numFmtId="0" fontId="9" fillId="0" borderId="0" applyAlignment="1" pivotButton="0" quotePrefix="0" xfId="0">
      <alignment horizontal="right"/>
    </xf>
    <xf numFmtId="10" fontId="7" fillId="0" borderId="0" pivotButton="0" quotePrefix="0" xfId="5"/>
    <xf numFmtId="164" fontId="7" fillId="0" borderId="0" pivotButton="0" quotePrefix="0" xfId="1"/>
    <xf numFmtId="0" fontId="7" fillId="0" borderId="1" pivotButton="0" quotePrefix="0" xfId="5"/>
    <xf numFmtId="0" fontId="7" fillId="0" borderId="1" pivotButton="0" quotePrefix="0" xfId="1"/>
    <xf numFmtId="0" fontId="7" fillId="0" borderId="1" applyAlignment="1" pivotButton="0" quotePrefix="0" xfId="1">
      <alignment horizontal="left"/>
    </xf>
    <xf numFmtId="165" fontId="7" fillId="0" borderId="0" applyAlignment="1" pivotButton="0" quotePrefix="0" xfId="2">
      <alignment vertical="center" wrapText="1"/>
    </xf>
    <xf numFmtId="165" fontId="7" fillId="0" borderId="0" pivotButton="0" quotePrefix="0" xfId="2"/>
    <xf numFmtId="165" fontId="7" fillId="0" borderId="0" pivotButton="0" quotePrefix="0" xfId="2"/>
    <xf numFmtId="0" fontId="7" fillId="0" borderId="0" applyAlignment="1" pivotButton="0" quotePrefix="0" xfId="0">
      <alignment vertical="center"/>
    </xf>
    <xf numFmtId="165" fontId="7" fillId="0" borderId="0" applyAlignment="1" pivotButton="0" quotePrefix="0" xfId="2">
      <alignment vertical="center" wrapText="1"/>
    </xf>
    <xf numFmtId="166" fontId="9" fillId="0" borderId="1" pivotButton="0" quotePrefix="0" xfId="5"/>
    <xf numFmtId="164" fontId="9" fillId="0" borderId="1" pivotButton="0" quotePrefix="0" xfId="0"/>
    <xf numFmtId="37" fontId="9" fillId="0" borderId="1" pivotButton="0" quotePrefix="0" xfId="5"/>
    <xf numFmtId="164" fontId="9" fillId="0" borderId="1" pivotButton="0" quotePrefix="0" xfId="1"/>
    <xf numFmtId="0" fontId="8" fillId="0" borderId="0" pivotButton="0" quotePrefix="0" xfId="0"/>
    <xf numFmtId="0" fontId="9" fillId="0" borderId="1" pivotButton="0" quotePrefix="0" xfId="0"/>
    <xf numFmtId="43" fontId="7" fillId="0" borderId="1" pivotButton="0" quotePrefix="0" xfId="0"/>
    <xf numFmtId="167" fontId="7" fillId="0" borderId="1" pivotButton="0" quotePrefix="0" xfId="0"/>
    <xf numFmtId="10" fontId="7" fillId="0" borderId="1" pivotButton="0" quotePrefix="0" xfId="0"/>
    <xf numFmtId="41" fontId="7" fillId="0" borderId="1" pivotButton="0" quotePrefix="0" xfId="0"/>
    <xf numFmtId="0" fontId="22" fillId="0" borderId="0" pivotButton="0" quotePrefix="0" xfId="0"/>
    <xf numFmtId="0" fontId="23" fillId="0" borderId="0" pivotButton="0" quotePrefix="0" xfId="0"/>
    <xf numFmtId="43" fontId="23" fillId="0" borderId="0" pivotButton="0" quotePrefix="0" xfId="1"/>
    <xf numFmtId="164" fontId="23" fillId="0" borderId="0" pivotButton="0" quotePrefix="0" xfId="1"/>
    <xf numFmtId="165" fontId="23" fillId="0" borderId="0" pivotButton="0" quotePrefix="0" xfId="2"/>
    <xf numFmtId="42" fontId="9" fillId="0" borderId="1" pivotButton="0" quotePrefix="0" xfId="0"/>
    <xf numFmtId="164" fontId="7" fillId="0" borderId="1" applyAlignment="1" pivotButton="0" quotePrefix="0" xfId="0">
      <alignment horizontal="right"/>
    </xf>
    <xf numFmtId="164" fontId="7" fillId="0" borderId="1" pivotButton="0" quotePrefix="0" xfId="0"/>
    <xf numFmtId="164" fontId="7" fillId="0" borderId="0" pivotButton="0" quotePrefix="0" xfId="1"/>
    <xf numFmtId="165" fontId="7" fillId="0" borderId="1" pivotButton="0" quotePrefix="0" xfId="2"/>
    <xf numFmtId="41" fontId="7" fillId="0" borderId="1" applyAlignment="1" pivotButton="0" quotePrefix="0" xfId="1">
      <alignment horizontal="right"/>
    </xf>
    <xf numFmtId="41" fontId="7" fillId="0" borderId="1" applyAlignment="1" pivotButton="0" quotePrefix="0" xfId="0">
      <alignment horizontal="right"/>
    </xf>
    <xf numFmtId="0" fontId="9" fillId="0" borderId="1" applyAlignment="1" pivotButton="0" quotePrefix="0" xfId="0">
      <alignment horizontal="center"/>
    </xf>
    <xf numFmtId="0" fontId="7" fillId="0" borderId="1" applyAlignment="1" pivotButton="0" quotePrefix="0" xfId="0">
      <alignment horizontal="left" indent="2"/>
    </xf>
    <xf numFmtId="0" fontId="9" fillId="0" borderId="1" applyAlignment="1" pivotButton="0" quotePrefix="0" xfId="0">
      <alignment horizontal="left" indent="2"/>
    </xf>
    <xf numFmtId="0" fontId="16" fillId="0" borderId="0" pivotButton="0" quotePrefix="0" xfId="0"/>
    <xf numFmtId="0" fontId="9" fillId="0" borderId="1" applyAlignment="1" pivotButton="0" quotePrefix="0" xfId="0">
      <alignment horizontal="left"/>
    </xf>
    <xf numFmtId="42" fontId="7" fillId="0" borderId="2" pivotButton="0" quotePrefix="0" xfId="1"/>
    <xf numFmtId="164" fontId="7" fillId="0" borderId="1" pivotButton="0" quotePrefix="0" xfId="1"/>
    <xf numFmtId="42" fontId="7" fillId="0" borderId="2" pivotButton="0" quotePrefix="0" xfId="0"/>
    <xf numFmtId="0" fontId="16" fillId="0" borderId="1" pivotButton="0" quotePrefix="0" xfId="0"/>
    <xf numFmtId="0" fontId="26" fillId="0" borderId="0" applyAlignment="1" pivotButton="0" quotePrefix="0" xfId="0">
      <alignment horizontal="left" vertical="center"/>
    </xf>
    <xf numFmtId="42" fontId="7" fillId="0" borderId="1" pivotButton="0" quotePrefix="0" xfId="1"/>
    <xf numFmtId="41" fontId="7" fillId="8" borderId="2" applyProtection="1" pivotButton="0" quotePrefix="0" xfId="1">
      <protection locked="0" hidden="0"/>
    </xf>
    <xf numFmtId="0" fontId="9" fillId="0" borderId="0" applyAlignment="1" pivotButton="0" quotePrefix="0" xfId="0">
      <alignment horizontal="left"/>
    </xf>
    <xf numFmtId="0" fontId="26" fillId="0" borderId="0" applyAlignment="1" pivotButton="0" quotePrefix="0" xfId="0">
      <alignment vertical="center"/>
    </xf>
    <xf numFmtId="0" fontId="26" fillId="0" borderId="0" applyAlignment="1" pivotButton="0" quotePrefix="0" xfId="0">
      <alignment horizontal="left"/>
    </xf>
    <xf numFmtId="0" fontId="9" fillId="0" borderId="0" applyAlignment="1" pivotButton="0" quotePrefix="0" xfId="0">
      <alignment vertical="center"/>
    </xf>
    <xf numFmtId="0" fontId="7" fillId="0" borderId="0" applyAlignment="1" pivotButton="0" quotePrefix="0" xfId="0">
      <alignment horizontal="left"/>
    </xf>
    <xf numFmtId="42" fontId="7" fillId="0" borderId="1" pivotButton="0" quotePrefix="0" xfId="0"/>
    <xf numFmtId="42" fontId="7" fillId="0" borderId="1" pivotButton="0" quotePrefix="0" xfId="2"/>
    <xf numFmtId="168" fontId="9" fillId="0" borderId="1" pivotButton="0" quotePrefix="0" xfId="0"/>
    <xf numFmtId="0" fontId="9" fillId="5" borderId="1" pivotButton="0" quotePrefix="0" xfId="0"/>
    <xf numFmtId="0" fontId="7" fillId="5" borderId="1" applyAlignment="1" pivotButton="0" quotePrefix="0" xfId="0">
      <alignment horizontal="center"/>
    </xf>
    <xf numFmtId="0" fontId="7" fillId="5" borderId="1" pivotButton="0" quotePrefix="0" xfId="0"/>
    <xf numFmtId="0" fontId="16" fillId="5" borderId="1" pivotButton="0" quotePrefix="0" xfId="0"/>
    <xf numFmtId="165" fontId="7" fillId="5" borderId="1" pivotButton="0" quotePrefix="0" xfId="2"/>
    <xf numFmtId="0" fontId="9" fillId="0" borderId="1" applyAlignment="1" pivotButton="0" quotePrefix="0" xfId="0">
      <alignment horizontal="center" wrapText="1"/>
    </xf>
    <xf numFmtId="10" fontId="7" fillId="0" borderId="1" applyProtection="1" pivotButton="0" quotePrefix="0" xfId="5">
      <protection locked="0" hidden="0"/>
    </xf>
    <xf numFmtId="42" fontId="7" fillId="0" borderId="1" pivotButton="0" quotePrefix="0" xfId="5"/>
    <xf numFmtId="10" fontId="7" fillId="0" borderId="1" applyProtection="1" pivotButton="0" quotePrefix="0" xfId="0">
      <protection locked="0" hidden="0"/>
    </xf>
    <xf numFmtId="10" fontId="7" fillId="0" borderId="1" applyAlignment="1" pivotButton="0" quotePrefix="0" xfId="0">
      <alignment horizontal="center"/>
    </xf>
    <xf numFmtId="0" fontId="7" fillId="0" borderId="1" applyAlignment="1" pivotButton="0" quotePrefix="0" xfId="0">
      <alignment horizontal="center"/>
    </xf>
    <xf numFmtId="0" fontId="18" fillId="0" borderId="0" pivotButton="0" quotePrefix="0" xfId="0"/>
    <xf numFmtId="0" fontId="25" fillId="0" borderId="0" pivotButton="0" quotePrefix="0" xfId="0"/>
    <xf numFmtId="9" fontId="16" fillId="0" borderId="0" applyAlignment="1" applyProtection="1" pivotButton="0" quotePrefix="0" xfId="0">
      <alignment horizontal="center" vertical="center"/>
      <protection locked="0" hidden="0"/>
    </xf>
    <xf numFmtId="42" fontId="16" fillId="0" borderId="0" pivotButton="0" quotePrefix="0" xfId="0"/>
    <xf numFmtId="0" fontId="27" fillId="0" borderId="0" pivotButton="0" quotePrefix="0" xfId="0"/>
    <xf numFmtId="0" fontId="17" fillId="0" borderId="0" applyAlignment="1" pivotButton="0" quotePrefix="0" xfId="0">
      <alignment horizontal="center" vertical="center"/>
    </xf>
    <xf numFmtId="41" fontId="7" fillId="0" borderId="0" applyProtection="1" pivotButton="0" quotePrefix="0" xfId="2">
      <protection locked="0" hidden="0"/>
    </xf>
    <xf numFmtId="42" fontId="18" fillId="0" borderId="0" pivotButton="0" quotePrefix="0" xfId="2"/>
    <xf numFmtId="0" fontId="17" fillId="0" borderId="0" pivotButton="0" quotePrefix="0" xfId="0"/>
    <xf numFmtId="41" fontId="7" fillId="0" borderId="1" pivotButton="0" quotePrefix="0" xfId="1"/>
    <xf numFmtId="165" fontId="7" fillId="0" borderId="0" pivotButton="0" quotePrefix="0" xfId="2"/>
    <xf numFmtId="166" fontId="7" fillId="0" borderId="1" applyProtection="1" pivotButton="0" quotePrefix="0" xfId="0">
      <protection locked="0" hidden="0"/>
    </xf>
    <xf numFmtId="42" fontId="7" fillId="0" borderId="1" pivotButton="0" quotePrefix="0" xfId="1"/>
    <xf numFmtId="0" fontId="9" fillId="0" borderId="1" applyAlignment="1" pivotButton="0" quotePrefix="0" xfId="0">
      <alignment horizontal="left" vertical="center"/>
    </xf>
    <xf numFmtId="169" fontId="18" fillId="0" borderId="0" pivotButton="0" quotePrefix="0" xfId="0"/>
    <xf numFmtId="42" fontId="18" fillId="0" borderId="0" pivotButton="0" quotePrefix="0" xfId="0"/>
    <xf numFmtId="165" fontId="18" fillId="0" borderId="0" pivotButton="0" quotePrefix="0" xfId="0"/>
    <xf numFmtId="165" fontId="17" fillId="0" borderId="0" pivotButton="0" quotePrefix="0" xfId="0"/>
    <xf numFmtId="42" fontId="9" fillId="0" borderId="1" pivotButton="0" quotePrefix="0" xfId="1"/>
    <xf numFmtId="166" fontId="7" fillId="0" borderId="0" pivotButton="0" quotePrefix="0" xfId="0"/>
    <xf numFmtId="41" fontId="7" fillId="0" borderId="0" pivotButton="0" quotePrefix="0" xfId="1"/>
    <xf numFmtId="0" fontId="17" fillId="0" borderId="0" applyAlignment="1" pivotButton="0" quotePrefix="0" xfId="0">
      <alignment horizontal="center" vertical="center" wrapText="1"/>
    </xf>
    <xf numFmtId="168" fontId="7" fillId="0" borderId="0" applyProtection="1" pivotButton="0" quotePrefix="0" xfId="0">
      <protection locked="0" hidden="0"/>
    </xf>
    <xf numFmtId="42" fontId="18" fillId="0" borderId="0" applyAlignment="1" pivotButton="0" quotePrefix="0" xfId="2">
      <alignment horizontal="center"/>
    </xf>
    <xf numFmtId="0" fontId="7" fillId="0" borderId="0" applyAlignment="1" pivotButton="0" quotePrefix="0" xfId="0">
      <alignment horizontal="center"/>
    </xf>
    <xf numFmtId="0" fontId="17" fillId="0" borderId="0" applyAlignment="1" pivotButton="0" quotePrefix="0" xfId="0">
      <alignment horizontal="center" wrapText="1"/>
    </xf>
    <xf numFmtId="10" fontId="7" fillId="0" borderId="0" applyProtection="1" pivotButton="0" quotePrefix="0" xfId="5">
      <protection locked="0" hidden="0"/>
    </xf>
    <xf numFmtId="10" fontId="18" fillId="0" borderId="0" applyAlignment="1" pivotButton="0" quotePrefix="0" xfId="0">
      <alignment horizontal="center"/>
    </xf>
    <xf numFmtId="0" fontId="18" fillId="0" borderId="0" applyAlignment="1" pivotButton="0" quotePrefix="0" xfId="0">
      <alignment horizontal="center"/>
    </xf>
    <xf numFmtId="0" fontId="16" fillId="0" borderId="0" applyProtection="1" pivotButton="0" quotePrefix="0" xfId="0">
      <protection locked="0" hidden="0"/>
    </xf>
    <xf numFmtId="9" fontId="18" fillId="0" borderId="0" pivotButton="0" quotePrefix="0" xfId="0"/>
    <xf numFmtId="0" fontId="25" fillId="0" borderId="1" applyAlignment="1" pivotButton="0" quotePrefix="0" xfId="0">
      <alignment horizontal="right" vertical="center"/>
    </xf>
    <xf numFmtId="0" fontId="9" fillId="0" borderId="1" applyAlignment="1" pivotButton="0" quotePrefix="0" xfId="0">
      <alignment horizontal="right" vertical="center"/>
    </xf>
    <xf numFmtId="0" fontId="16" fillId="0" borderId="1" applyAlignment="1" pivotButton="0" quotePrefix="0" xfId="0">
      <alignment horizontal="right" vertical="center"/>
    </xf>
    <xf numFmtId="164" fontId="9" fillId="0" borderId="5" applyAlignment="1" pivotButton="0" quotePrefix="0" xfId="0">
      <alignment horizontal="right" vertical="center"/>
    </xf>
    <xf numFmtId="9" fontId="9" fillId="0" borderId="1" applyAlignment="1" pivotButton="0" quotePrefix="0" xfId="0">
      <alignment horizontal="right" vertical="center"/>
    </xf>
    <xf numFmtId="0" fontId="16" fillId="0" borderId="5" applyAlignment="1" pivotButton="0" quotePrefix="1" xfId="0">
      <alignment horizontal="right" vertical="center"/>
    </xf>
    <xf numFmtId="42" fontId="9" fillId="0" borderId="5" applyAlignment="1" pivotButton="0" quotePrefix="0" xfId="0">
      <alignment horizontal="right" vertical="center"/>
    </xf>
    <xf numFmtId="0" fontId="16" fillId="0" borderId="1" applyAlignment="1" pivotButton="0" quotePrefix="1" xfId="0">
      <alignment horizontal="right" vertical="center"/>
    </xf>
    <xf numFmtId="0" fontId="16" fillId="5" borderId="2" applyAlignment="1" pivotButton="0" quotePrefix="1" xfId="0">
      <alignment horizontal="right" vertical="center"/>
    </xf>
    <xf numFmtId="43" fontId="16" fillId="5" borderId="8" applyAlignment="1" pivotButton="0" quotePrefix="0" xfId="1">
      <alignment horizontal="right" vertical="center"/>
    </xf>
    <xf numFmtId="43" fontId="16" fillId="5" borderId="8" applyAlignment="1" applyProtection="1" pivotButton="0" quotePrefix="0" xfId="1">
      <alignment horizontal="right" vertical="center"/>
      <protection locked="0" hidden="0"/>
    </xf>
    <xf numFmtId="0" fontId="9" fillId="0" borderId="9" applyAlignment="1" pivotButton="0" quotePrefix="0" xfId="0">
      <alignment horizontal="right" vertical="center"/>
    </xf>
    <xf numFmtId="0" fontId="25" fillId="0" borderId="6" applyAlignment="1" pivotButton="0" quotePrefix="0" xfId="0">
      <alignment horizontal="right" vertical="center"/>
    </xf>
    <xf numFmtId="43" fontId="16" fillId="5" borderId="6" applyAlignment="1" applyProtection="1" pivotButton="0" quotePrefix="0" xfId="1">
      <alignment horizontal="right" vertical="center"/>
      <protection locked="0" hidden="0"/>
    </xf>
    <xf numFmtId="0" fontId="9" fillId="0" borderId="6" applyAlignment="1" pivotButton="0" quotePrefix="0" xfId="0">
      <alignment horizontal="right" vertical="center"/>
    </xf>
    <xf numFmtId="0" fontId="7" fillId="0" borderId="1" applyAlignment="1" pivotButton="0" quotePrefix="1" xfId="0">
      <alignment horizontal="right" vertical="center"/>
    </xf>
    <xf numFmtId="42" fontId="9" fillId="0" borderId="1" applyAlignment="1" pivotButton="0" quotePrefix="0" xfId="0">
      <alignment horizontal="right" vertical="center"/>
    </xf>
    <xf numFmtId="43" fontId="16" fillId="5" borderId="6" applyAlignment="1" pivotButton="0" quotePrefix="0" xfId="0">
      <alignment horizontal="right" vertical="center"/>
    </xf>
    <xf numFmtId="0" fontId="16" fillId="0" borderId="2" applyAlignment="1" pivotButton="0" quotePrefix="1" xfId="0">
      <alignment horizontal="right" vertical="center"/>
    </xf>
    <xf numFmtId="43" fontId="16" fillId="5" borderId="8" applyAlignment="1" pivotButton="0" quotePrefix="0" xfId="0">
      <alignment horizontal="right" vertical="center"/>
    </xf>
    <xf numFmtId="43" fontId="16" fillId="0" borderId="8" applyAlignment="1" applyProtection="1" pivotButton="0" quotePrefix="0" xfId="1">
      <alignment horizontal="right" vertical="center"/>
      <protection locked="0" hidden="0"/>
    </xf>
    <xf numFmtId="43" fontId="16" fillId="0" borderId="6" applyAlignment="1" applyProtection="1" pivotButton="0" quotePrefix="0" xfId="1">
      <alignment horizontal="right" vertical="center"/>
      <protection locked="0" hidden="0"/>
    </xf>
    <xf numFmtId="0" fontId="7" fillId="0" borderId="5" applyAlignment="1" pivotButton="0" quotePrefix="1" xfId="0">
      <alignment horizontal="right" vertical="center"/>
    </xf>
    <xf numFmtId="0" fontId="9" fillId="0" borderId="5" applyAlignment="1" pivotButton="0" quotePrefix="1" xfId="0">
      <alignment horizontal="right" vertical="center"/>
    </xf>
    <xf numFmtId="0" fontId="9" fillId="0" borderId="5" applyAlignment="1" pivotButton="0" quotePrefix="0" xfId="0">
      <alignment horizontal="right" vertical="center"/>
    </xf>
    <xf numFmtId="42" fontId="9" fillId="0" borderId="5" applyAlignment="1" pivotButton="0" quotePrefix="0" xfId="0">
      <alignment horizontal="left" vertical="center"/>
    </xf>
    <xf numFmtId="42" fontId="9" fillId="0" borderId="1" applyAlignment="1" pivotButton="0" quotePrefix="0" xfId="1">
      <alignment horizontal="left" vertical="center"/>
    </xf>
    <xf numFmtId="42" fontId="9" fillId="0" borderId="1" applyAlignment="1" pivotButton="0" quotePrefix="0" xfId="0">
      <alignment horizontal="left" vertical="center"/>
    </xf>
    <xf numFmtId="0" fontId="7" fillId="8" borderId="1" applyAlignment="1" applyProtection="1" pivotButton="0" quotePrefix="0" xfId="0">
      <alignment horizontal="right" vertical="center"/>
      <protection locked="0" hidden="0"/>
    </xf>
    <xf numFmtId="165" fontId="7" fillId="8" borderId="1" applyAlignment="1" applyProtection="1" pivotButton="0" quotePrefix="0" xfId="0">
      <alignment horizontal="right" vertical="center"/>
      <protection locked="0" hidden="0"/>
    </xf>
    <xf numFmtId="165" fontId="16" fillId="8" borderId="1" applyProtection="1" pivotButton="0" quotePrefix="0" xfId="0">
      <protection locked="0" hidden="0"/>
    </xf>
    <xf numFmtId="0" fontId="28" fillId="0" borderId="0" applyAlignment="1" pivotButton="0" quotePrefix="0" xfId="0">
      <alignment vertical="center"/>
    </xf>
    <xf numFmtId="0" fontId="9" fillId="0" borderId="0" applyAlignment="1" pivotButton="0" quotePrefix="0" xfId="0">
      <alignment horizontal="right" vertical="center"/>
    </xf>
    <xf numFmtId="37" fontId="16" fillId="8" borderId="1" applyAlignment="1" applyProtection="1" pivotButton="0" quotePrefix="0" xfId="1">
      <alignment horizontal="right" vertical="center"/>
      <protection locked="0" hidden="0"/>
    </xf>
    <xf numFmtId="37" fontId="16" fillId="8" borderId="1" applyAlignment="1" applyProtection="1" pivotButton="0" quotePrefix="0" xfId="0">
      <alignment horizontal="right" vertical="center"/>
      <protection locked="0" hidden="0"/>
    </xf>
    <xf numFmtId="166" fontId="7" fillId="8" borderId="1" applyProtection="1" pivotButton="0" quotePrefix="0" xfId="0">
      <protection locked="0" hidden="0"/>
    </xf>
    <xf numFmtId="41" fontId="7" fillId="8" borderId="1" applyProtection="1" pivotButton="0" quotePrefix="0" xfId="2">
      <protection locked="0" hidden="0"/>
    </xf>
    <xf numFmtId="10" fontId="7" fillId="8" borderId="1" applyProtection="1" pivotButton="0" quotePrefix="0" xfId="5">
      <protection locked="0" hidden="0"/>
    </xf>
    <xf numFmtId="0" fontId="7" fillId="0" borderId="1" applyAlignment="1" pivotButton="0" quotePrefix="1" xfId="0">
      <alignment horizontal="right"/>
    </xf>
    <xf numFmtId="42" fontId="7" fillId="0" borderId="1" applyAlignment="1" pivotButton="0" quotePrefix="0" xfId="0">
      <alignment horizontal="right"/>
    </xf>
    <xf numFmtId="0" fontId="30" fillId="0" borderId="0" pivotButton="0" quotePrefix="0" xfId="0"/>
    <xf numFmtId="0" fontId="16" fillId="0" borderId="0" applyAlignment="1" pivotButton="0" quotePrefix="0" xfId="0">
      <alignment vertical="center"/>
    </xf>
    <xf numFmtId="0" fontId="25" fillId="0" borderId="0" applyAlignment="1" pivotButton="0" quotePrefix="0" xfId="0">
      <alignment vertical="center"/>
    </xf>
    <xf numFmtId="0" fontId="16" fillId="0" borderId="0" applyAlignment="1" pivotButton="0" quotePrefix="0" xfId="0">
      <alignment horizontal="right"/>
    </xf>
    <xf numFmtId="0" fontId="9" fillId="0" borderId="1" applyAlignment="1" pivotButton="0" quotePrefix="0" xfId="0">
      <alignment horizontal="right"/>
    </xf>
    <xf numFmtId="0" fontId="9" fillId="0" borderId="6" pivotButton="0" quotePrefix="0" xfId="0"/>
    <xf numFmtId="41" fontId="18" fillId="0" borderId="6" applyProtection="1" pivotButton="0" quotePrefix="0" xfId="5">
      <protection locked="0" hidden="0"/>
    </xf>
    <xf numFmtId="0" fontId="9" fillId="0" borderId="6" applyAlignment="1" pivotButton="0" quotePrefix="0" xfId="0">
      <alignment horizontal="center" vertical="center"/>
    </xf>
    <xf numFmtId="0" fontId="16" fillId="0" borderId="1" applyAlignment="1" applyProtection="1" pivotButton="0" quotePrefix="0" xfId="0">
      <alignment horizontal="left" indent="3"/>
      <protection locked="0" hidden="0"/>
    </xf>
    <xf numFmtId="41" fontId="7" fillId="8" borderId="1" applyProtection="1" pivotButton="0" quotePrefix="0" xfId="1">
      <protection locked="0" hidden="0"/>
    </xf>
    <xf numFmtId="0" fontId="25" fillId="0" borderId="1" pivotButton="0" quotePrefix="0" xfId="0"/>
    <xf numFmtId="0" fontId="16" fillId="0" borderId="1" applyAlignment="1" pivotButton="0" quotePrefix="0" xfId="0">
      <alignment horizontal="left" indent="3"/>
    </xf>
    <xf numFmtId="0" fontId="16" fillId="0" borderId="1" applyAlignment="1" pivotButton="0" quotePrefix="0" xfId="0">
      <alignment horizontal="left" indent="6"/>
    </xf>
    <xf numFmtId="165" fontId="16" fillId="0" borderId="0" pivotButton="0" quotePrefix="0" xfId="0"/>
    <xf numFmtId="0" fontId="31" fillId="0" borderId="0" applyAlignment="1" pivotButton="0" quotePrefix="0" xfId="0">
      <alignment vertical="center"/>
    </xf>
    <xf numFmtId="0" fontId="9" fillId="0" borderId="0" applyAlignment="1" pivotButton="0" quotePrefix="0" xfId="0">
      <alignment horizontal="left" vertical="center"/>
    </xf>
    <xf numFmtId="0" fontId="16" fillId="0" borderId="0" applyAlignment="1" pivotButton="0" quotePrefix="0" xfId="0">
      <alignment horizontal="center"/>
    </xf>
    <xf numFmtId="41" fontId="16" fillId="0" borderId="1" pivotButton="0" quotePrefix="0" xfId="0"/>
    <xf numFmtId="166" fontId="7" fillId="0" borderId="1" pivotButton="0" quotePrefix="0" xfId="0"/>
    <xf numFmtId="43" fontId="16" fillId="0" borderId="1" pivotButton="0" quotePrefix="0" xfId="0"/>
    <xf numFmtId="41" fontId="7" fillId="0" borderId="6" pivotButton="0" quotePrefix="0" xfId="1"/>
    <xf numFmtId="41" fontId="16" fillId="0" borderId="6" pivotButton="0" quotePrefix="0" xfId="0"/>
    <xf numFmtId="0" fontId="16" fillId="0" borderId="1" applyAlignment="1" pivotButton="0" quotePrefix="0" xfId="0">
      <alignment horizontal="left"/>
    </xf>
    <xf numFmtId="0" fontId="26" fillId="0" borderId="0" pivotButton="0" quotePrefix="0" xfId="0"/>
    <xf numFmtId="0" fontId="7" fillId="0" borderId="0" applyAlignment="1" pivotButton="0" quotePrefix="0" xfId="0">
      <alignment horizontal="left" vertical="center"/>
    </xf>
    <xf numFmtId="0" fontId="16" fillId="0" borderId="0" pivotButton="0" quotePrefix="0" xfId="4"/>
    <xf numFmtId="0" fontId="16" fillId="4" borderId="1" pivotButton="0" quotePrefix="0" xfId="4"/>
    <xf numFmtId="9" fontId="16" fillId="8" borderId="1" applyProtection="1" pivotButton="0" quotePrefix="0" xfId="5">
      <protection locked="0" hidden="0"/>
    </xf>
    <xf numFmtId="0" fontId="16" fillId="4" borderId="1" pivotButton="0" quotePrefix="0" xfId="0"/>
    <xf numFmtId="0" fontId="16" fillId="6" borderId="1" applyProtection="1" pivotButton="0" quotePrefix="0" xfId="0">
      <protection locked="0" hidden="0"/>
    </xf>
    <xf numFmtId="0" fontId="7" fillId="0" borderId="2" pivotButton="0" quotePrefix="0" xfId="0"/>
    <xf numFmtId="9" fontId="16" fillId="0" borderId="1" pivotButton="0" quotePrefix="0" xfId="5"/>
    <xf numFmtId="10" fontId="16" fillId="8" borderId="1" applyProtection="1" pivotButton="0" quotePrefix="0" xfId="0">
      <protection locked="0" hidden="0"/>
    </xf>
    <xf numFmtId="41" fontId="7" fillId="8" borderId="7" applyProtection="1" pivotButton="0" quotePrefix="0" xfId="1">
      <protection locked="0" hidden="0"/>
    </xf>
    <xf numFmtId="0" fontId="7" fillId="0" borderId="1" applyAlignment="1" pivotButton="0" quotePrefix="0" xfId="0">
      <alignment horizontal="left"/>
    </xf>
    <xf numFmtId="0" fontId="25" fillId="0" borderId="1" applyAlignment="1" pivotButton="0" quotePrefix="0" xfId="0">
      <alignment horizontal="right"/>
    </xf>
    <xf numFmtId="9" fontId="25" fillId="0" borderId="1" pivotButton="0" quotePrefix="0" xfId="0"/>
    <xf numFmtId="0" fontId="26" fillId="0" borderId="0" pivotButton="0" quotePrefix="1" xfId="0"/>
    <xf numFmtId="0" fontId="25" fillId="0" borderId="0" pivotButton="0" quotePrefix="1" xfId="0"/>
    <xf numFmtId="0" fontId="7" fillId="0" borderId="1" applyAlignment="1" pivotButton="0" quotePrefix="0" xfId="0">
      <alignment horizontal="left" indent="3"/>
    </xf>
    <xf numFmtId="41" fontId="7" fillId="0" borderId="1" pivotButton="0" quotePrefix="1" xfId="1"/>
    <xf numFmtId="41" fontId="7" fillId="0" borderId="1" pivotButton="0" quotePrefix="0" xfId="1"/>
    <xf numFmtId="0" fontId="7" fillId="0" borderId="1" applyAlignment="1" pivotButton="0" quotePrefix="0" xfId="0">
      <alignment horizontal="left" indent="6"/>
    </xf>
    <xf numFmtId="0" fontId="9" fillId="5" borderId="1" applyAlignment="1" pivotButton="0" quotePrefix="0" xfId="0">
      <alignment horizontal="left"/>
    </xf>
    <xf numFmtId="42" fontId="7" fillId="5" borderId="1" pivotButton="0" quotePrefix="0" xfId="1"/>
    <xf numFmtId="0" fontId="7" fillId="0" borderId="1" applyAlignment="1" pivotButton="0" quotePrefix="0" xfId="0">
      <alignment horizontal="left" indent="5"/>
    </xf>
    <xf numFmtId="42" fontId="9" fillId="0" borderId="1" pivotButton="0" quotePrefix="0" xfId="1"/>
    <xf numFmtId="0" fontId="9" fillId="0" borderId="0" pivotButton="0" quotePrefix="1" xfId="0"/>
    <xf numFmtId="42" fontId="9" fillId="0" borderId="1" applyAlignment="1" pivotButton="0" quotePrefix="0" xfId="0">
      <alignment horizontal="left" indent="3"/>
    </xf>
    <xf numFmtId="0" fontId="33" fillId="0" borderId="0" pivotButton="0" quotePrefix="0" xfId="0"/>
    <xf numFmtId="0" fontId="7" fillId="0" borderId="1" applyAlignment="1" pivotButton="0" quotePrefix="0" xfId="0">
      <alignment horizontal="left" vertical="center"/>
    </xf>
    <xf numFmtId="0" fontId="7" fillId="5" borderId="1" applyAlignment="1" pivotButton="0" quotePrefix="0" xfId="0">
      <alignment horizontal="left" vertical="center"/>
    </xf>
    <xf numFmtId="42" fontId="9" fillId="5" borderId="1" applyAlignment="1" pivotButton="0" quotePrefix="0" xfId="0">
      <alignment horizontal="left"/>
    </xf>
    <xf numFmtId="0" fontId="7" fillId="0" borderId="1" applyAlignment="1" applyProtection="1" pivotButton="0" quotePrefix="0" xfId="0">
      <alignment horizontal="left" indent="3"/>
      <protection locked="0" hidden="0"/>
    </xf>
    <xf numFmtId="0" fontId="9" fillId="4" borderId="1" applyAlignment="1" pivotButton="0" quotePrefix="0" xfId="0">
      <alignment horizontal="left"/>
    </xf>
    <xf numFmtId="0" fontId="7" fillId="4" borderId="1" applyAlignment="1" pivotButton="0" quotePrefix="0" xfId="0">
      <alignment horizontal="left" indent="3"/>
    </xf>
    <xf numFmtId="0" fontId="7" fillId="4" borderId="1" applyAlignment="1" pivotButton="0" quotePrefix="0" xfId="0">
      <alignment horizontal="left" indent="6"/>
    </xf>
    <xf numFmtId="9" fontId="27" fillId="0" borderId="0" applyAlignment="1" pivotButton="0" quotePrefix="0" xfId="0">
      <alignment horizontal="center"/>
    </xf>
    <xf numFmtId="9" fontId="27" fillId="0" borderId="0" pivotButton="0" quotePrefix="0" xfId="0"/>
    <xf numFmtId="9" fontId="26" fillId="0" borderId="0" applyAlignment="1" pivotButton="0" quotePrefix="0" xfId="0">
      <alignment horizontal="center"/>
    </xf>
    <xf numFmtId="9" fontId="26" fillId="0" borderId="0" pivotButton="0" quotePrefix="0" xfId="0"/>
    <xf numFmtId="9" fontId="9" fillId="0" borderId="0" applyAlignment="1" pivotButton="0" quotePrefix="0" xfId="0">
      <alignment horizontal="center" vertical="center"/>
    </xf>
    <xf numFmtId="9" fontId="9" fillId="0" borderId="0" applyAlignment="1" pivotButton="0" quotePrefix="0" xfId="0">
      <alignment vertical="center"/>
    </xf>
    <xf numFmtId="9" fontId="7" fillId="0" borderId="0" applyAlignment="1" pivotButton="0" quotePrefix="0" xfId="0">
      <alignment horizontal="center" vertical="center"/>
    </xf>
    <xf numFmtId="9" fontId="7" fillId="0" borderId="0" applyAlignment="1" pivotButton="0" quotePrefix="0" xfId="0">
      <alignment vertical="center"/>
    </xf>
    <xf numFmtId="0" fontId="9" fillId="0" borderId="2" applyAlignment="1" pivotButton="0" quotePrefix="0" xfId="0">
      <alignment horizontal="left"/>
    </xf>
    <xf numFmtId="0" fontId="7" fillId="0" borderId="2" applyAlignment="1" pivotButton="0" quotePrefix="0" xfId="0">
      <alignment horizontal="left" vertical="center"/>
    </xf>
    <xf numFmtId="9" fontId="7" fillId="0" borderId="1" applyAlignment="1" pivotButton="0" quotePrefix="0" xfId="0">
      <alignment horizontal="center"/>
    </xf>
    <xf numFmtId="9" fontId="7" fillId="0" borderId="1" applyAlignment="1" pivotButton="0" quotePrefix="0" xfId="0">
      <alignment horizontal="right"/>
    </xf>
    <xf numFmtId="9" fontId="7" fillId="0" borderId="1" applyAlignment="1" pivotButton="0" quotePrefix="0" xfId="1">
      <alignment horizontal="center"/>
    </xf>
    <xf numFmtId="9" fontId="7" fillId="0" borderId="1" applyAlignment="1" pivotButton="0" quotePrefix="0" xfId="1">
      <alignment horizontal="right"/>
    </xf>
    <xf numFmtId="9" fontId="9" fillId="0" borderId="1" applyAlignment="1" pivotButton="0" quotePrefix="0" xfId="1">
      <alignment horizontal="center"/>
    </xf>
    <xf numFmtId="9" fontId="9" fillId="0" borderId="1" pivotButton="0" quotePrefix="0" xfId="1"/>
    <xf numFmtId="169" fontId="7" fillId="0" borderId="1" pivotButton="0" quotePrefix="0" xfId="1"/>
    <xf numFmtId="9" fontId="7" fillId="0" borderId="1" pivotButton="0" quotePrefix="0" xfId="1"/>
    <xf numFmtId="9" fontId="7" fillId="0" borderId="1" pivotButton="0" quotePrefix="0" xfId="0"/>
    <xf numFmtId="9" fontId="9" fillId="0" borderId="1" applyAlignment="1" pivotButton="0" quotePrefix="0" xfId="0">
      <alignment horizontal="center"/>
    </xf>
    <xf numFmtId="9" fontId="7" fillId="0" borderId="1" applyAlignment="1" pivotButton="0" quotePrefix="0" xfId="1">
      <alignment horizontal="center"/>
    </xf>
    <xf numFmtId="40" fontId="7" fillId="0" borderId="1" pivotButton="0" quotePrefix="0" xfId="0"/>
    <xf numFmtId="0" fontId="7" fillId="0" borderId="2" applyAlignment="1" pivotButton="0" quotePrefix="0" xfId="0">
      <alignment horizontal="left" indent="3"/>
    </xf>
    <xf numFmtId="0" fontId="7" fillId="0" borderId="2" applyAlignment="1" pivotButton="0" quotePrefix="0" xfId="0">
      <alignment horizontal="left" indent="6"/>
    </xf>
    <xf numFmtId="169" fontId="7" fillId="0" borderId="1" pivotButton="0" quotePrefix="0" xfId="1"/>
    <xf numFmtId="0" fontId="7" fillId="0" borderId="1" applyAlignment="1" pivotButton="0" quotePrefix="0" xfId="0">
      <alignment horizontal="left" vertical="center" indent="3"/>
    </xf>
    <xf numFmtId="0" fontId="36" fillId="0" borderId="0" pivotButton="0" quotePrefix="0" xfId="0"/>
    <xf numFmtId="41" fontId="7" fillId="0" borderId="1" pivotButton="0" quotePrefix="0" xfId="2"/>
    <xf numFmtId="42" fontId="9" fillId="0" borderId="1" pivotButton="0" quotePrefix="0" xfId="2"/>
    <xf numFmtId="170" fontId="7" fillId="0" borderId="1" pivotButton="0" quotePrefix="0" xfId="0"/>
    <xf numFmtId="0" fontId="37" fillId="0" borderId="0" applyAlignment="1" pivotButton="0" quotePrefix="0" xfId="0">
      <alignment horizontal="left" vertical="center"/>
    </xf>
    <xf numFmtId="0" fontId="37" fillId="0" borderId="0" applyAlignment="1" pivotButton="0" quotePrefix="0" xfId="0">
      <alignment vertical="center"/>
    </xf>
    <xf numFmtId="41" fontId="16" fillId="6" borderId="1" applyProtection="1" pivotButton="0" quotePrefix="0" xfId="0">
      <protection locked="0" hidden="0"/>
    </xf>
    <xf numFmtId="0" fontId="7" fillId="0" borderId="1" applyAlignment="1" pivotButton="0" quotePrefix="0" xfId="0">
      <alignment wrapText="1"/>
    </xf>
    <xf numFmtId="0" fontId="18" fillId="0" borderId="0" applyAlignment="1" pivotButton="0" quotePrefix="0" xfId="0">
      <alignment wrapText="1"/>
    </xf>
    <xf numFmtId="0" fontId="27" fillId="5" borderId="0" pivotButton="0" quotePrefix="0" xfId="0"/>
    <xf numFmtId="0" fontId="16" fillId="0" borderId="1" applyAlignment="1" pivotButton="0" quotePrefix="0" xfId="0">
      <alignment wrapText="1"/>
    </xf>
    <xf numFmtId="0" fontId="7" fillId="8" borderId="1" applyAlignment="1" applyProtection="1" pivotButton="0" quotePrefix="0" xfId="0">
      <alignment vertical="center"/>
      <protection locked="0" hidden="0"/>
    </xf>
    <xf numFmtId="0" fontId="9" fillId="0" borderId="1" applyAlignment="1" pivotButton="0" quotePrefix="0" xfId="0">
      <alignment wrapText="1"/>
    </xf>
    <xf numFmtId="0" fontId="26" fillId="0" borderId="0" applyAlignment="1" pivotButton="0" quotePrefix="0" xfId="0">
      <alignment horizontal="center"/>
    </xf>
    <xf numFmtId="1" fontId="7" fillId="0" borderId="1" pivotButton="0" quotePrefix="0" xfId="0"/>
    <xf numFmtId="165" fontId="9" fillId="0" borderId="0" applyAlignment="1" pivotButton="0" quotePrefix="0" xfId="2">
      <alignment horizontal="right" vertical="center"/>
    </xf>
    <xf numFmtId="1" fontId="18" fillId="0" borderId="0" applyAlignment="1" pivotButton="0" quotePrefix="0" xfId="1">
      <alignment horizontal="left" vertical="center"/>
    </xf>
    <xf numFmtId="165" fontId="17" fillId="0" borderId="0" applyAlignment="1" pivotButton="0" quotePrefix="0" xfId="2">
      <alignment horizontal="center"/>
    </xf>
    <xf numFmtId="165" fontId="7" fillId="0" borderId="1" applyAlignment="1" pivotButton="0" quotePrefix="0" xfId="0">
      <alignment horizontal="left" vertical="center" wrapText="1"/>
    </xf>
    <xf numFmtId="42" fontId="9" fillId="0" borderId="1" applyAlignment="1" pivotButton="0" quotePrefix="0" xfId="0">
      <alignment vertical="center"/>
    </xf>
    <xf numFmtId="42" fontId="7" fillId="0" borderId="0" applyAlignment="1" pivotButton="0" quotePrefix="0" xfId="2">
      <alignment vertical="center"/>
    </xf>
    <xf numFmtId="165" fontId="7" fillId="0" borderId="0" applyAlignment="1" pivotButton="0" quotePrefix="0" xfId="0">
      <alignment horizontal="left"/>
    </xf>
    <xf numFmtId="165" fontId="7" fillId="0" borderId="0" applyAlignment="1" pivotButton="0" quotePrefix="0" xfId="0">
      <alignment horizontal="left" vertical="center" wrapText="1"/>
    </xf>
    <xf numFmtId="42" fontId="7" fillId="0" borderId="0" applyAlignment="1" pivotButton="0" quotePrefix="0" xfId="0">
      <alignment horizontal="left" vertical="center"/>
    </xf>
    <xf numFmtId="0" fontId="9" fillId="0" borderId="0" applyAlignment="1" pivotButton="0" quotePrefix="0" xfId="0">
      <alignment vertical="center" wrapText="1"/>
    </xf>
    <xf numFmtId="42" fontId="7" fillId="0" borderId="0" applyAlignment="1" pivotButton="0" quotePrefix="0" xfId="0">
      <alignment vertical="center"/>
    </xf>
    <xf numFmtId="165" fontId="7" fillId="0" borderId="0" applyAlignment="1" pivotButton="0" quotePrefix="0" xfId="2">
      <alignment vertical="center"/>
    </xf>
    <xf numFmtId="41" fontId="7" fillId="0" borderId="0" applyAlignment="1" pivotButton="0" quotePrefix="0" xfId="0">
      <alignment vertical="center"/>
    </xf>
    <xf numFmtId="41" fontId="7" fillId="0" borderId="0" applyAlignment="1" pivotButton="0" quotePrefix="0" xfId="2">
      <alignment vertical="center"/>
    </xf>
    <xf numFmtId="41" fontId="16" fillId="0" borderId="0" applyProtection="1" pivotButton="0" quotePrefix="0" xfId="5">
      <protection locked="0" hidden="0"/>
    </xf>
    <xf numFmtId="42" fontId="7" fillId="0" borderId="0" applyAlignment="1" pivotButton="0" quotePrefix="0" xfId="0">
      <alignment vertical="center" wrapText="1"/>
    </xf>
    <xf numFmtId="42" fontId="7" fillId="0" borderId="0" applyAlignment="1" pivotButton="0" quotePrefix="0" xfId="2">
      <alignment vertical="center" wrapText="1"/>
    </xf>
    <xf numFmtId="4" fontId="7" fillId="0" borderId="0" applyAlignment="1" pivotButton="0" quotePrefix="0" xfId="0">
      <alignment vertical="center" wrapText="1"/>
    </xf>
    <xf numFmtId="42" fontId="7" fillId="0" borderId="0" pivotButton="0" quotePrefix="0" xfId="0"/>
    <xf numFmtId="0" fontId="9" fillId="0" borderId="1" applyAlignment="1" pivotButton="0" quotePrefix="0" xfId="0">
      <alignment vertical="center" wrapText="1"/>
    </xf>
    <xf numFmtId="166" fontId="9" fillId="0" borderId="1" pivotButton="0" quotePrefix="0" xfId="1"/>
    <xf numFmtId="0" fontId="7" fillId="0" borderId="1" applyAlignment="1" pivotButton="0" quotePrefix="0" xfId="0">
      <alignment horizontal="left" indent="4"/>
    </xf>
    <xf numFmtId="171" fontId="7" fillId="0" borderId="1" pivotButton="0" quotePrefix="0" xfId="1"/>
    <xf numFmtId="171" fontId="7" fillId="0" borderId="1" pivotButton="0" quotePrefix="0" xfId="0"/>
    <xf numFmtId="43" fontId="7" fillId="0" borderId="1" pivotButton="0" quotePrefix="0" xfId="1"/>
    <xf numFmtId="166" fontId="7" fillId="0" borderId="1" pivotButton="0" quotePrefix="0" xfId="1"/>
    <xf numFmtId="0" fontId="34" fillId="0" borderId="0" applyAlignment="1" pivotButton="0" quotePrefix="0" xfId="3">
      <alignment horizontal="center" vertical="center" wrapText="1"/>
    </xf>
    <xf numFmtId="0" fontId="29" fillId="0" borderId="0" applyAlignment="1" pivotButton="0" quotePrefix="0" xfId="3">
      <alignment horizontal="center" vertical="center" wrapText="1"/>
    </xf>
    <xf numFmtId="42" fontId="9" fillId="0" borderId="1" pivotButton="0" quotePrefix="0" xfId="2"/>
    <xf numFmtId="0" fontId="16" fillId="5" borderId="8" applyAlignment="1" pivotButton="0" quotePrefix="1" xfId="0">
      <alignment horizontal="right" vertical="center"/>
    </xf>
    <xf numFmtId="0" fontId="16" fillId="0" borderId="8" applyAlignment="1" pivotButton="0" quotePrefix="1" xfId="0">
      <alignment horizontal="right" vertical="center"/>
    </xf>
    <xf numFmtId="42" fontId="16" fillId="0" borderId="1" applyAlignment="1" pivotButton="0" quotePrefix="0" xfId="0">
      <alignment horizontal="right" vertical="center"/>
    </xf>
    <xf numFmtId="42" fontId="7" fillId="0" borderId="5" applyAlignment="1" pivotButton="0" quotePrefix="1" xfId="0">
      <alignment horizontal="right" vertical="center"/>
    </xf>
    <xf numFmtId="42" fontId="16" fillId="0" borderId="1" applyAlignment="1" pivotButton="0" quotePrefix="1" xfId="0">
      <alignment horizontal="right" vertical="center"/>
    </xf>
    <xf numFmtId="42" fontId="7" fillId="0" borderId="1" applyAlignment="1" pivotButton="0" quotePrefix="1" xfId="0">
      <alignment horizontal="right" vertical="center"/>
    </xf>
    <xf numFmtId="42" fontId="16" fillId="0" borderId="5" applyAlignment="1" pivotButton="0" quotePrefix="1" xfId="0">
      <alignment horizontal="right" vertical="center"/>
    </xf>
    <xf numFmtId="37" fontId="16" fillId="8" borderId="1" applyAlignment="1" pivotButton="0" quotePrefix="0" xfId="1">
      <alignment horizontal="right" vertical="center"/>
    </xf>
    <xf numFmtId="37" fontId="16" fillId="8" borderId="1" applyAlignment="1" pivotButton="0" quotePrefix="0" xfId="0">
      <alignment horizontal="right" vertical="center"/>
    </xf>
    <xf numFmtId="41" fontId="16" fillId="8" borderId="1" applyAlignment="1" pivotButton="0" quotePrefix="0" xfId="1">
      <alignment horizontal="right" vertical="center"/>
    </xf>
    <xf numFmtId="41" fontId="16" fillId="8" borderId="1" applyAlignment="1" pivotButton="0" quotePrefix="0" xfId="0">
      <alignment horizontal="right" vertical="center"/>
    </xf>
    <xf numFmtId="9" fontId="9" fillId="0" borderId="0" applyAlignment="1" pivotButton="0" quotePrefix="0" xfId="0">
      <alignment horizontal="center"/>
    </xf>
    <xf numFmtId="9" fontId="9" fillId="0" borderId="0" pivotButton="0" quotePrefix="0" xfId="0"/>
    <xf numFmtId="43" fontId="9" fillId="0" borderId="0" applyAlignment="1" pivotButton="0" quotePrefix="0" xfId="0">
      <alignment horizontal="center" vertical="center"/>
    </xf>
    <xf numFmtId="9" fontId="7" fillId="0" borderId="0" applyAlignment="1" pivotButton="0" quotePrefix="0" xfId="0">
      <alignment horizontal="center"/>
    </xf>
    <xf numFmtId="9" fontId="7" fillId="0" borderId="0" pivotButton="0" quotePrefix="0" xfId="0"/>
    <xf numFmtId="41" fontId="7" fillId="0" borderId="1" pivotButton="0" quotePrefix="0" xfId="2"/>
    <xf numFmtId="166" fontId="9" fillId="0" borderId="1" applyAlignment="1" pivotButton="0" quotePrefix="0" xfId="0">
      <alignment horizontal="right" vertical="center"/>
    </xf>
    <xf numFmtId="166" fontId="9" fillId="0" borderId="1" pivotButton="0" quotePrefix="0" xfId="0"/>
    <xf numFmtId="41" fontId="16" fillId="5" borderId="5" applyAlignment="1" pivotButton="0" quotePrefix="0" xfId="1">
      <alignment horizontal="right" vertical="center"/>
    </xf>
    <xf numFmtId="41" fontId="16" fillId="5" borderId="1" applyAlignment="1" pivotButton="0" quotePrefix="0" xfId="1">
      <alignment horizontal="right" vertical="center"/>
    </xf>
    <xf numFmtId="41" fontId="7" fillId="5" borderId="1" applyAlignment="1" pivotButton="0" quotePrefix="0" xfId="1">
      <alignment horizontal="right" vertical="center"/>
    </xf>
    <xf numFmtId="41" fontId="16" fillId="0" borderId="1" applyAlignment="1" pivotButton="0" quotePrefix="0" xfId="1">
      <alignment horizontal="right" vertical="center"/>
    </xf>
    <xf numFmtId="41" fontId="7" fillId="0" borderId="1" applyAlignment="1" pivotButton="0" quotePrefix="0" xfId="1">
      <alignment horizontal="right" vertical="center"/>
    </xf>
    <xf numFmtId="37" fontId="9" fillId="0" borderId="5" applyAlignment="1" pivotButton="0" quotePrefix="0" xfId="1">
      <alignment horizontal="right" vertical="center"/>
    </xf>
    <xf numFmtId="37" fontId="9" fillId="0" borderId="5" applyAlignment="1" pivotButton="0" quotePrefix="0" xfId="0">
      <alignment horizontal="right" vertical="center"/>
    </xf>
    <xf numFmtId="37" fontId="9" fillId="0" borderId="1" applyAlignment="1" pivotButton="0" quotePrefix="0" xfId="0">
      <alignment horizontal="right" vertical="center"/>
    </xf>
    <xf numFmtId="41" fontId="7" fillId="8" borderId="1" applyAlignment="1" pivotButton="0" quotePrefix="0" xfId="1">
      <alignment horizontal="right" vertical="center"/>
    </xf>
    <xf numFmtId="42" fontId="16" fillId="0" borderId="1" pivotButton="0" quotePrefix="0" xfId="0"/>
    <xf numFmtId="0" fontId="16" fillId="0" borderId="1" applyAlignment="1" applyProtection="1" pivotButton="0" quotePrefix="0" xfId="0">
      <alignment horizontal="left"/>
      <protection locked="0" hidden="0"/>
    </xf>
    <xf numFmtId="42" fontId="16" fillId="0" borderId="6" pivotButton="0" quotePrefix="0" xfId="0"/>
    <xf numFmtId="42" fontId="7" fillId="0" borderId="6" pivotButton="0" quotePrefix="0" xfId="1"/>
    <xf numFmtId="42" fontId="9" fillId="0" borderId="6" pivotButton="0" quotePrefix="0" xfId="0"/>
    <xf numFmtId="41" fontId="7" fillId="0" borderId="6" applyAlignment="1" pivotButton="0" quotePrefix="0" xfId="1">
      <alignment horizontal="right"/>
    </xf>
    <xf numFmtId="42" fontId="16" fillId="0" borderId="5" pivotButton="0" quotePrefix="0" xfId="0"/>
    <xf numFmtId="41" fontId="7" fillId="8" borderId="1" applyAlignment="1" applyProtection="1" pivotButton="0" quotePrefix="0" xfId="1">
      <alignment horizontal="center"/>
      <protection locked="0" hidden="0"/>
    </xf>
    <xf numFmtId="41" fontId="16" fillId="8" borderId="1" applyProtection="1" pivotButton="0" quotePrefix="0" xfId="0">
      <protection locked="0" hidden="0"/>
    </xf>
    <xf numFmtId="41" fontId="7" fillId="8" borderId="5" applyAlignment="1" applyProtection="1" pivotButton="0" quotePrefix="0" xfId="1">
      <alignment horizontal="center"/>
      <protection locked="0" hidden="0"/>
    </xf>
    <xf numFmtId="41" fontId="16" fillId="8" borderId="5" applyProtection="1" pivotButton="0" quotePrefix="0" xfId="0">
      <protection locked="0" hidden="0"/>
    </xf>
    <xf numFmtId="42" fontId="16" fillId="8" borderId="1" applyProtection="1" pivotButton="0" quotePrefix="0" xfId="0">
      <protection locked="0" hidden="0"/>
    </xf>
    <xf numFmtId="42" fontId="7" fillId="0" borderId="0" applyAlignment="1" pivotButton="0" quotePrefix="0" xfId="0">
      <alignment horizontal="center"/>
    </xf>
    <xf numFmtId="166" fontId="9" fillId="0" borderId="1" applyAlignment="1" pivotButton="0" quotePrefix="0" xfId="0">
      <alignment horizontal="right"/>
    </xf>
    <xf numFmtId="42" fontId="7" fillId="0" borderId="1" applyAlignment="1" pivotButton="0" quotePrefix="0" xfId="0">
      <alignment horizontal="left" vertical="center" wrapText="1"/>
    </xf>
    <xf numFmtId="42" fontId="7" fillId="0" borderId="1" applyAlignment="1" pivotButton="0" quotePrefix="0" xfId="1">
      <alignment horizontal="right"/>
    </xf>
    <xf numFmtId="41" fontId="9" fillId="0" borderId="1" pivotButton="0" quotePrefix="0" xfId="0"/>
    <xf numFmtId="0" fontId="29" fillId="0" borderId="0" applyAlignment="1" pivotButton="0" quotePrefix="0" xfId="3">
      <alignment vertical="center"/>
    </xf>
    <xf numFmtId="0" fontId="39" fillId="0" borderId="0" applyAlignment="1" pivotButton="0" quotePrefix="0" xfId="0">
      <alignment horizontal="center"/>
    </xf>
    <xf numFmtId="0" fontId="29" fillId="0" borderId="0" applyAlignment="1" pivotButton="0" quotePrefix="0" xfId="3">
      <alignment vertical="center"/>
    </xf>
    <xf numFmtId="0" fontId="7" fillId="0" borderId="1" applyAlignment="1" applyProtection="1" pivotButton="0" quotePrefix="0" xfId="0">
      <alignment horizontal="left"/>
      <protection locked="0" hidden="0"/>
    </xf>
    <xf numFmtId="0" fontId="38" fillId="8" borderId="6" applyAlignment="1" applyProtection="1" pivotButton="0" quotePrefix="0" xfId="0">
      <alignment horizontal="center"/>
      <protection locked="0" hidden="0"/>
    </xf>
    <xf numFmtId="0" fontId="7" fillId="0" borderId="6" pivotButton="0" quotePrefix="0" xfId="0"/>
    <xf numFmtId="42" fontId="7" fillId="0" borderId="6" pivotButton="0" quotePrefix="0" xfId="0"/>
    <xf numFmtId="41" fontId="7" fillId="8" borderId="6" applyProtection="1" pivotButton="0" quotePrefix="0" xfId="2">
      <protection locked="0" hidden="0"/>
    </xf>
    <xf numFmtId="42" fontId="7" fillId="0" borderId="6" pivotButton="0" quotePrefix="0" xfId="2"/>
    <xf numFmtId="10" fontId="7" fillId="8" borderId="6" applyProtection="1" pivotButton="0" quotePrefix="0" xfId="5">
      <protection locked="0" hidden="0"/>
    </xf>
    <xf numFmtId="10" fontId="7" fillId="0" borderId="6" applyProtection="1" pivotButton="0" quotePrefix="0" xfId="5">
      <protection locked="0" hidden="0"/>
    </xf>
    <xf numFmtId="42" fontId="7" fillId="0" borderId="6" pivotButton="0" quotePrefix="0" xfId="5"/>
    <xf numFmtId="41" fontId="7" fillId="0" borderId="6" pivotButton="0" quotePrefix="0" xfId="2"/>
    <xf numFmtId="166" fontId="7" fillId="8" borderId="6" applyProtection="1" pivotButton="0" quotePrefix="0" xfId="0">
      <protection locked="0" hidden="0"/>
    </xf>
    <xf numFmtId="164" fontId="16" fillId="0" borderId="6" applyAlignment="1" applyProtection="1" pivotButton="0" quotePrefix="0" xfId="1">
      <alignment horizontal="right" vertical="center"/>
      <protection locked="0" hidden="0"/>
    </xf>
    <xf numFmtId="0" fontId="9" fillId="0" borderId="6" pivotButton="0" quotePrefix="0" xfId="4"/>
    <xf numFmtId="0" fontId="9" fillId="0" borderId="6" applyAlignment="1" pivotButton="0" quotePrefix="0" xfId="0">
      <alignment horizontal="center"/>
    </xf>
    <xf numFmtId="0" fontId="16" fillId="8" borderId="6" applyProtection="1" pivotButton="0" quotePrefix="0" xfId="0">
      <protection locked="0" hidden="0"/>
    </xf>
    <xf numFmtId="0" fontId="9" fillId="0" borderId="4" applyAlignment="1" pivotButton="0" quotePrefix="0" xfId="0">
      <alignment horizontal="center" vertical="center"/>
    </xf>
    <xf numFmtId="0" fontId="32" fillId="0" borderId="3"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4" applyAlignment="1" pivotButton="0" quotePrefix="0" xfId="0">
      <alignment horizontal="center" vertical="center" wrapText="1"/>
    </xf>
    <xf numFmtId="166" fontId="7" fillId="8" borderId="6" applyProtection="1" pivotButton="0" quotePrefix="0" xfId="5">
      <protection locked="0" hidden="0"/>
    </xf>
    <xf numFmtId="0" fontId="16" fillId="0" borderId="6" pivotButton="0" quotePrefix="0" xfId="0"/>
    <xf numFmtId="0" fontId="16" fillId="8" borderId="6" pivotButton="0" quotePrefix="0" xfId="0"/>
    <xf numFmtId="49" fontId="41" fillId="12" borderId="16" applyAlignment="1" pivotButton="0" quotePrefix="0" xfId="7">
      <alignment horizontal="center" wrapText="1"/>
    </xf>
    <xf numFmtId="41" fontId="7" fillId="0" borderId="6" pivotButton="0" quotePrefix="0" xfId="0"/>
    <xf numFmtId="49" fontId="42" fillId="12" borderId="16" applyAlignment="1" pivotButton="0" quotePrefix="0" xfId="7">
      <alignment wrapText="1"/>
    </xf>
    <xf numFmtId="49" fontId="42" fillId="12" borderId="16" applyAlignment="1" pivotButton="0" quotePrefix="0" xfId="7">
      <alignment wrapText="1"/>
    </xf>
    <xf numFmtId="49" fontId="42" fillId="12" borderId="16" applyAlignment="1" applyProtection="1" pivotButton="0" quotePrefix="0" xfId="7">
      <alignment wrapText="1"/>
      <protection locked="0" hidden="0"/>
    </xf>
    <xf numFmtId="0" fontId="9" fillId="0" borderId="6" applyAlignment="1" pivotButton="0" quotePrefix="0" xfId="0">
      <alignment horizontal="center" wrapText="1"/>
    </xf>
    <xf numFmtId="0" fontId="40" fillId="0" borderId="6" applyAlignment="1" pivotButton="0" quotePrefix="0" xfId="3">
      <alignment horizontal="center" vertical="center" wrapText="1"/>
    </xf>
    <xf numFmtId="0" fontId="9" fillId="0" borderId="6" applyAlignment="1" pivotButton="0" quotePrefix="0" xfId="0">
      <alignment horizontal="left"/>
    </xf>
    <xf numFmtId="42" fontId="7" fillId="0" borderId="6" pivotButton="0" quotePrefix="0" xfId="1"/>
    <xf numFmtId="164" fontId="7" fillId="0" borderId="6" pivotButton="0" quotePrefix="0" xfId="1"/>
    <xf numFmtId="164" fontId="9" fillId="0" borderId="6" pivotButton="0" quotePrefix="0" xfId="1"/>
    <xf numFmtId="0" fontId="7" fillId="0" borderId="4" applyAlignment="1" pivotButton="0" quotePrefix="0" xfId="0">
      <alignment horizontal="left" vertical="center"/>
    </xf>
    <xf numFmtId="9" fontId="7" fillId="0" borderId="6" applyAlignment="1" pivotButton="0" quotePrefix="0" xfId="0">
      <alignment horizontal="center"/>
    </xf>
    <xf numFmtId="9" fontId="7" fillId="0" borderId="6" applyAlignment="1" pivotButton="0" quotePrefix="0" xfId="0">
      <alignment horizontal="right"/>
    </xf>
    <xf numFmtId="9" fontId="7" fillId="0" borderId="6" pivotButton="0" quotePrefix="0" xfId="0"/>
    <xf numFmtId="9" fontId="7" fillId="0" borderId="6" applyAlignment="1" pivotButton="0" quotePrefix="0" xfId="1">
      <alignment horizontal="center"/>
    </xf>
    <xf numFmtId="41" fontId="7" fillId="0" borderId="6" pivotButton="0" quotePrefix="0" xfId="1"/>
    <xf numFmtId="9" fontId="7" fillId="0" borderId="6" pivotButton="0" quotePrefix="0" xfId="1"/>
    <xf numFmtId="9" fontId="7" fillId="0" borderId="6" applyAlignment="1" pivotButton="0" quotePrefix="0" xfId="1">
      <alignment horizontal="center"/>
    </xf>
    <xf numFmtId="0" fontId="9" fillId="0" borderId="7" applyAlignment="1" pivotButton="0" quotePrefix="0" xfId="0">
      <alignment horizontal="left"/>
    </xf>
    <xf numFmtId="42" fontId="9" fillId="0" borderId="5" pivotButton="0" quotePrefix="0" xfId="0"/>
    <xf numFmtId="9" fontId="9" fillId="0" borderId="5" applyAlignment="1" pivotButton="0" quotePrefix="0" xfId="0">
      <alignment horizontal="center"/>
    </xf>
    <xf numFmtId="0" fontId="9" fillId="12" borderId="1" applyAlignment="1" pivotButton="0" quotePrefix="0" xfId="0">
      <alignment horizontal="left"/>
    </xf>
    <xf numFmtId="42" fontId="9" fillId="12" borderId="1" pivotButton="0" quotePrefix="0" xfId="0"/>
    <xf numFmtId="9" fontId="9" fillId="12" borderId="1" applyAlignment="1" pivotButton="0" quotePrefix="0" xfId="0">
      <alignment horizontal="center"/>
    </xf>
    <xf numFmtId="0" fontId="7" fillId="0" borderId="6" applyAlignment="1" pivotButton="0" quotePrefix="0" xfId="0">
      <alignment horizontal="left" indent="3"/>
    </xf>
    <xf numFmtId="0" fontId="42" fillId="0" borderId="21" applyAlignment="1" pivotButton="0" quotePrefix="0" xfId="0">
      <alignment horizontal="left"/>
    </xf>
    <xf numFmtId="40" fontId="43" fillId="0" borderId="16" pivotButton="0" quotePrefix="0" xfId="0"/>
    <xf numFmtId="9" fontId="43" fillId="0" borderId="16" applyAlignment="1" pivotButton="0" quotePrefix="0" xfId="0">
      <alignment horizontal="center"/>
    </xf>
    <xf numFmtId="9" fontId="43" fillId="0" borderId="16" pivotButton="0" quotePrefix="0" xfId="0"/>
    <xf numFmtId="40" fontId="7" fillId="0" borderId="6" pivotButton="0" quotePrefix="0" xfId="1"/>
    <xf numFmtId="0" fontId="7" fillId="0" borderId="6" applyAlignment="1" pivotButton="0" quotePrefix="0" xfId="0">
      <alignment horizontal="left" vertical="center"/>
    </xf>
    <xf numFmtId="169" fontId="7" fillId="0" borderId="6" pivotButton="0" quotePrefix="0" xfId="1"/>
    <xf numFmtId="42" fontId="7" fillId="0" borderId="6" applyAlignment="1" pivotButton="0" quotePrefix="0" xfId="0">
      <alignment horizontal="right"/>
    </xf>
    <xf numFmtId="165" fontId="7" fillId="0" borderId="6" applyAlignment="1" pivotButton="0" quotePrefix="0" xfId="0">
      <alignment horizontal="left" vertical="center" wrapText="1"/>
    </xf>
    <xf numFmtId="166" fontId="7" fillId="0" borderId="6" applyAlignment="1" pivotButton="0" quotePrefix="0" xfId="0">
      <alignment horizontal="right" vertical="center" wrapText="1"/>
    </xf>
    <xf numFmtId="0" fontId="7" fillId="0" borderId="6" applyAlignment="1" pivotButton="0" quotePrefix="0" xfId="0">
      <alignment horizontal="left" indent="2"/>
    </xf>
    <xf numFmtId="169" fontId="7" fillId="0" borderId="6" pivotButton="0" quotePrefix="0" xfId="2"/>
    <xf numFmtId="10" fontId="7" fillId="0" borderId="6" pivotButton="0" quotePrefix="0" xfId="5"/>
    <xf numFmtId="166" fontId="9" fillId="0" borderId="6" pivotButton="0" quotePrefix="0" xfId="5"/>
    <xf numFmtId="0" fontId="7" fillId="0" borderId="6" pivotButton="0" quotePrefix="0" xfId="5"/>
    <xf numFmtId="0" fontId="7" fillId="0" borderId="6" pivotButton="0" quotePrefix="0" xfId="1"/>
    <xf numFmtId="42" fontId="9" fillId="0" borderId="6" pivotButton="0" quotePrefix="0" xfId="1"/>
    <xf numFmtId="42" fontId="9" fillId="0" borderId="6" pivotButton="0" quotePrefix="0" xfId="2"/>
    <xf numFmtId="0" fontId="7" fillId="8" borderId="6" applyAlignment="1" applyProtection="1" pivotButton="0" quotePrefix="0" xfId="0">
      <alignment vertical="center"/>
      <protection locked="0" hidden="0"/>
    </xf>
    <xf numFmtId="169" fontId="7" fillId="0" borderId="6" pivotButton="0" quotePrefix="0" xfId="2"/>
    <xf numFmtId="165" fontId="7" fillId="0" borderId="6" pivotButton="0" quotePrefix="0" xfId="2"/>
    <xf numFmtId="172" fontId="7" fillId="0" borderId="6" pivotButton="0" quotePrefix="0" xfId="0"/>
    <xf numFmtId="41" fontId="7" fillId="0" borderId="6" pivotButton="0" quotePrefix="0" xfId="2"/>
    <xf numFmtId="0" fontId="44" fillId="0" borderId="0" pivotButton="0" quotePrefix="0" xfId="0"/>
    <xf numFmtId="0" fontId="46" fillId="0" borderId="0" applyAlignment="1" pivotButton="0" quotePrefix="0" xfId="0">
      <alignment horizontal="left" vertical="center"/>
    </xf>
    <xf numFmtId="0" fontId="45" fillId="0" borderId="0" pivotButton="0" quotePrefix="0" xfId="0"/>
    <xf numFmtId="0" fontId="47" fillId="0" borderId="0" pivotButton="0" quotePrefix="0" xfId="0"/>
    <xf numFmtId="0" fontId="48" fillId="0" borderId="0" pivotButton="0" quotePrefix="0" xfId="0"/>
    <xf numFmtId="49" fontId="49" fillId="12" borderId="16" applyAlignment="1" pivotButton="0" quotePrefix="0" xfId="7">
      <alignment horizontal="center" wrapText="1"/>
    </xf>
    <xf numFmtId="0" fontId="50" fillId="0" borderId="3" applyAlignment="1" pivotButton="0" quotePrefix="0" xfId="0">
      <alignment vertical="center"/>
    </xf>
    <xf numFmtId="0" fontId="45" fillId="0" borderId="4" pivotButton="0" quotePrefix="0" xfId="0"/>
    <xf numFmtId="0" fontId="48" fillId="0" borderId="6" pivotButton="0" quotePrefix="0" xfId="0"/>
    <xf numFmtId="0" fontId="48" fillId="0" borderId="3" applyProtection="1" pivotButton="0" quotePrefix="0" xfId="0">
      <protection locked="0" hidden="0"/>
    </xf>
    <xf numFmtId="0" fontId="45" fillId="0" borderId="1" applyAlignment="1" pivotButton="0" quotePrefix="0" xfId="0">
      <alignment horizontal="left"/>
    </xf>
    <xf numFmtId="41" fontId="48" fillId="8" borderId="4" applyProtection="1" pivotButton="0" quotePrefix="0" xfId="2">
      <protection locked="0" hidden="0"/>
    </xf>
    <xf numFmtId="41" fontId="48" fillId="8" borderId="2" applyProtection="1" pivotButton="0" quotePrefix="0" xfId="1">
      <protection locked="0" hidden="0"/>
    </xf>
    <xf numFmtId="41" fontId="48" fillId="8" borderId="1" applyProtection="1" pivotButton="0" quotePrefix="0" xfId="1">
      <protection locked="0" hidden="0"/>
    </xf>
    <xf numFmtId="43" fontId="48" fillId="0" borderId="3" applyProtection="1" pivotButton="0" quotePrefix="0" xfId="1">
      <protection locked="0" hidden="0"/>
    </xf>
    <xf numFmtId="0" fontId="45" fillId="0" borderId="1" pivotButton="0" quotePrefix="0" xfId="0"/>
    <xf numFmtId="42" fontId="48" fillId="0" borderId="1" pivotButton="0" quotePrefix="0" xfId="1"/>
    <xf numFmtId="42" fontId="48" fillId="0" borderId="8" pivotButton="0" quotePrefix="0" xfId="1"/>
    <xf numFmtId="0" fontId="44" fillId="0" borderId="3" pivotButton="0" quotePrefix="0" xfId="0"/>
    <xf numFmtId="0" fontId="49" fillId="0" borderId="25" applyAlignment="1" pivotButton="0" quotePrefix="0" xfId="0">
      <alignment horizontal="center"/>
    </xf>
    <xf numFmtId="164" fontId="49" fillId="0" borderId="24" applyAlignment="1" pivotButton="0" quotePrefix="0" xfId="1">
      <alignment horizontal="center"/>
    </xf>
    <xf numFmtId="0" fontId="45" fillId="0" borderId="6" pivotButton="0" quotePrefix="0" xfId="0"/>
    <xf numFmtId="41" fontId="48" fillId="8" borderId="4" applyProtection="1" pivotButton="0" quotePrefix="0" xfId="1">
      <protection locked="0" hidden="0"/>
    </xf>
    <xf numFmtId="0" fontId="51" fillId="0" borderId="0" applyAlignment="1" pivotButton="0" quotePrefix="0" xfId="0">
      <alignment wrapText="1"/>
    </xf>
    <xf numFmtId="0" fontId="45" fillId="0" borderId="2" pivotButton="0" quotePrefix="0" xfId="0"/>
    <xf numFmtId="42" fontId="48" fillId="0" borderId="2" pivotButton="0" quotePrefix="0" xfId="0"/>
    <xf numFmtId="42" fontId="45" fillId="0" borderId="2" pivotButton="0" quotePrefix="0" xfId="0"/>
    <xf numFmtId="169" fontId="48" fillId="0" borderId="0" pivotButton="0" quotePrefix="0" xfId="0"/>
    <xf numFmtId="0" fontId="48" fillId="0" borderId="0" applyProtection="1" pivotButton="0" quotePrefix="0" xfId="0">
      <protection locked="0" hidden="0"/>
    </xf>
    <xf numFmtId="0" fontId="45" fillId="0" borderId="6" applyAlignment="1" pivotButton="0" quotePrefix="0" xfId="0">
      <alignment horizontal="right"/>
    </xf>
    <xf numFmtId="0" fontId="44" fillId="0" borderId="6" pivotButton="0" quotePrefix="0" xfId="0"/>
    <xf numFmtId="0" fontId="48" fillId="0" borderId="1" pivotButton="0" quotePrefix="0" xfId="0"/>
    <xf numFmtId="0" fontId="44" fillId="0" borderId="1" pivotButton="0" quotePrefix="0" xfId="0"/>
    <xf numFmtId="0" fontId="45" fillId="0" borderId="1" applyAlignment="1" pivotButton="0" quotePrefix="0" xfId="0">
      <alignment horizontal="left" indent="1"/>
    </xf>
    <xf numFmtId="10" fontId="48" fillId="8" borderId="1" applyProtection="1" pivotButton="0" quotePrefix="0" xfId="5">
      <protection locked="0" hidden="0"/>
    </xf>
    <xf numFmtId="38" fontId="48" fillId="8" borderId="1" applyProtection="1" pivotButton="0" quotePrefix="0" xfId="1">
      <protection locked="0" hidden="0"/>
    </xf>
    <xf numFmtId="41" fontId="48" fillId="0" borderId="1" pivotButton="0" quotePrefix="0" xfId="0"/>
    <xf numFmtId="0" fontId="44" fillId="0" borderId="5" pivotButton="0" quotePrefix="0" xfId="0"/>
    <xf numFmtId="42" fontId="45" fillId="0" borderId="1" pivotButton="0" quotePrefix="0" xfId="0"/>
    <xf numFmtId="0" fontId="53" fillId="0" borderId="0" pivotButton="0" quotePrefix="0" xfId="0"/>
    <xf numFmtId="41" fontId="48" fillId="0" borderId="6" pivotButton="0" quotePrefix="0" xfId="0"/>
    <xf numFmtId="0" fontId="51" fillId="0" borderId="0" pivotButton="0" quotePrefix="0" xfId="0"/>
    <xf numFmtId="0" fontId="48" fillId="0" borderId="1" pivotButton="0" quotePrefix="1" xfId="0"/>
    <xf numFmtId="0" fontId="54" fillId="0" borderId="0" pivotButton="0" quotePrefix="0" xfId="0"/>
    <xf numFmtId="41" fontId="7" fillId="0" borderId="6" applyAlignment="1" pivotButton="0" quotePrefix="0" xfId="0">
      <alignment horizontal="right"/>
    </xf>
    <xf numFmtId="165" fontId="9" fillId="0" borderId="1" pivotButton="0" quotePrefix="0" xfId="0"/>
    <xf numFmtId="0" fontId="56" fillId="0" borderId="0" pivotButton="0" quotePrefix="0" xfId="0"/>
    <xf numFmtId="0" fontId="56" fillId="0" borderId="0" applyProtection="1" pivotButton="0" quotePrefix="0" xfId="0">
      <protection locked="1" hidden="1"/>
    </xf>
    <xf numFmtId="0" fontId="42" fillId="12" borderId="16" applyAlignment="1" pivotButton="0" quotePrefix="0" xfId="7">
      <alignment wrapText="1"/>
    </xf>
    <xf numFmtId="0" fontId="57" fillId="0" borderId="0" applyAlignment="1" applyProtection="1" pivotButton="0" quotePrefix="0" xfId="0">
      <alignment vertical="center" wrapText="1"/>
      <protection locked="1" hidden="1"/>
    </xf>
    <xf numFmtId="10" fontId="48" fillId="0" borderId="6" pivotButton="0" quotePrefix="0" xfId="5"/>
    <xf numFmtId="10" fontId="48" fillId="0" borderId="1" pivotButton="0" quotePrefix="0" xfId="5"/>
    <xf numFmtId="10" fontId="48" fillId="0" borderId="1" pivotButton="0" quotePrefix="0" xfId="5"/>
    <xf numFmtId="0" fontId="58" fillId="0" borderId="0" pivotButton="0" quotePrefix="0" xfId="0"/>
    <xf numFmtId="0" fontId="59" fillId="0" borderId="0" applyProtection="1" pivotButton="0" quotePrefix="0" xfId="0">
      <protection locked="1" hidden="1"/>
    </xf>
    <xf numFmtId="0" fontId="58" fillId="0" borderId="0" applyProtection="1" pivotButton="0" quotePrefix="0" xfId="0">
      <protection locked="1" hidden="1"/>
    </xf>
    <xf numFmtId="42" fontId="58" fillId="0" borderId="0" applyProtection="1" pivotButton="0" quotePrefix="0" xfId="0">
      <protection locked="1" hidden="1"/>
    </xf>
    <xf numFmtId="42" fontId="9" fillId="0" borderId="1" applyAlignment="1" pivotButton="0" quotePrefix="0" xfId="0">
      <alignment horizontal="right" vertical="center" wrapText="1"/>
    </xf>
    <xf numFmtId="168" fontId="7" fillId="8" borderId="6" applyProtection="1" pivotButton="0" quotePrefix="0" xfId="0">
      <protection locked="0" hidden="0"/>
    </xf>
    <xf numFmtId="2" fontId="7" fillId="8" borderId="6" applyProtection="1" pivotButton="0" quotePrefix="0" xfId="2">
      <protection locked="0" hidden="0"/>
    </xf>
    <xf numFmtId="168" fontId="7" fillId="8" borderId="1" applyProtection="1" pivotButton="0" quotePrefix="0" xfId="0">
      <protection locked="0" hidden="0"/>
    </xf>
    <xf numFmtId="2" fontId="7" fillId="8" borderId="1" applyProtection="1" pivotButton="0" quotePrefix="0" xfId="2">
      <protection locked="0" hidden="0"/>
    </xf>
    <xf numFmtId="9" fontId="58" fillId="0" borderId="0" applyAlignment="1" pivotButton="0" quotePrefix="0" xfId="0">
      <alignment horizontal="center"/>
    </xf>
    <xf numFmtId="9" fontId="58" fillId="0" borderId="0" pivotButton="0" quotePrefix="0" xfId="0"/>
    <xf numFmtId="0" fontId="59" fillId="0" borderId="0" applyAlignment="1" applyProtection="1" pivotButton="0" quotePrefix="0" xfId="0">
      <alignment horizontal="center"/>
      <protection locked="1" hidden="1"/>
    </xf>
    <xf numFmtId="9" fontId="59" fillId="0" borderId="0" applyAlignment="1" applyProtection="1" pivotButton="0" quotePrefix="0" xfId="0">
      <alignment horizontal="center"/>
      <protection locked="1" hidden="1"/>
    </xf>
    <xf numFmtId="42" fontId="58" fillId="0" borderId="0" applyAlignment="1" applyProtection="1" pivotButton="0" quotePrefix="0" xfId="0">
      <alignment horizontal="center"/>
      <protection locked="1" hidden="1"/>
    </xf>
    <xf numFmtId="42" fontId="58" fillId="0" borderId="0" pivotButton="0" quotePrefix="0" xfId="0"/>
    <xf numFmtId="42" fontId="58" fillId="0" borderId="0" applyAlignment="1" pivotButton="0" quotePrefix="0" xfId="0">
      <alignment horizontal="center"/>
    </xf>
    <xf numFmtId="0" fontId="60" fillId="0" borderId="0" pivotButton="0" quotePrefix="0" xfId="0"/>
    <xf numFmtId="41" fontId="48" fillId="0" borderId="1" applyAlignment="1" applyProtection="1" pivotButton="0" quotePrefix="0" xfId="2">
      <alignment horizontal="right"/>
      <protection locked="0" hidden="0"/>
    </xf>
    <xf numFmtId="165" fontId="7" fillId="0" borderId="1" applyAlignment="1" pivotButton="0" quotePrefix="0" xfId="2">
      <alignment horizontal="center"/>
    </xf>
    <xf numFmtId="37" fontId="7" fillId="0" borderId="1" pivotButton="0" quotePrefix="0" xfId="0"/>
    <xf numFmtId="37" fontId="7" fillId="8" borderId="6" applyProtection="1" pivotButton="0" quotePrefix="0" xfId="1">
      <protection locked="0" hidden="0"/>
    </xf>
    <xf numFmtId="37" fontId="7" fillId="8" borderId="1" applyProtection="1" pivotButton="0" quotePrefix="0" xfId="1">
      <protection locked="0" hidden="0"/>
    </xf>
    <xf numFmtId="0" fontId="16" fillId="0" borderId="6" applyAlignment="1" pivotButton="0" quotePrefix="0" xfId="0">
      <alignment horizontal="left" indent="3"/>
    </xf>
    <xf numFmtId="0" fontId="7" fillId="0" borderId="6" applyAlignment="1" pivotButton="0" quotePrefix="0" xfId="0">
      <alignment horizontal="left"/>
    </xf>
    <xf numFmtId="0" fontId="62" fillId="0" borderId="0" pivotButton="0" quotePrefix="0" xfId="0"/>
    <xf numFmtId="0" fontId="63" fillId="0" borderId="0" pivotButton="0" quotePrefix="0" xfId="0"/>
    <xf numFmtId="10" fontId="7" fillId="13" borderId="0" applyAlignment="1" applyProtection="1" pivotButton="0" quotePrefix="0" xfId="0">
      <alignment horizontal="left" vertical="center"/>
      <protection locked="0" hidden="0"/>
    </xf>
    <xf numFmtId="9" fontId="26" fillId="13" borderId="0" applyAlignment="1" applyProtection="1" pivotButton="0" quotePrefix="0" xfId="5">
      <alignment vertical="center"/>
      <protection locked="0" hidden="0"/>
    </xf>
    <xf numFmtId="0" fontId="14" fillId="0" borderId="0" applyAlignment="1" pivotButton="0" quotePrefix="0" xfId="0">
      <alignment horizontal="left" vertical="center"/>
    </xf>
    <xf numFmtId="49" fontId="49" fillId="12" borderId="16" applyAlignment="1" pivotButton="0" quotePrefix="0" xfId="7">
      <alignment wrapText="1"/>
    </xf>
    <xf numFmtId="0" fontId="48" fillId="0" borderId="10" applyAlignment="1" applyProtection="1" pivotButton="0" quotePrefix="0" xfId="0">
      <alignment horizontal="center"/>
      <protection locked="0" hidden="0"/>
    </xf>
    <xf numFmtId="0" fontId="48" fillId="0" borderId="8" applyAlignment="1" applyProtection="1" pivotButton="0" quotePrefix="0" xfId="0">
      <alignment horizontal="center"/>
      <protection locked="0" hidden="0"/>
    </xf>
    <xf numFmtId="0" fontId="48" fillId="0" borderId="11" applyAlignment="1" applyProtection="1" pivotButton="0" quotePrefix="0" xfId="0">
      <alignment horizontal="center"/>
      <protection locked="0" hidden="0"/>
    </xf>
    <xf numFmtId="49" fontId="49" fillId="12" borderId="16" applyAlignment="1" pivotButton="0" quotePrefix="0" xfId="7">
      <alignment horizontal="center" wrapText="1"/>
    </xf>
    <xf numFmtId="0" fontId="48" fillId="0" borderId="4" applyAlignment="1" applyProtection="1" pivotButton="0" quotePrefix="0" xfId="0">
      <alignment horizontal="center"/>
      <protection locked="0" hidden="0"/>
    </xf>
    <xf numFmtId="0" fontId="48" fillId="0" borderId="17" applyAlignment="1" applyProtection="1" pivotButton="0" quotePrefix="0" xfId="0">
      <alignment horizontal="center"/>
      <protection locked="0" hidden="0"/>
    </xf>
    <xf numFmtId="0" fontId="48" fillId="0" borderId="2" applyAlignment="1" applyProtection="1" pivotButton="0" quotePrefix="0" xfId="0">
      <alignment horizontal="center"/>
      <protection locked="0" hidden="0"/>
    </xf>
    <xf numFmtId="0" fontId="48" fillId="0" borderId="9" applyAlignment="1" applyProtection="1" pivotButton="0" quotePrefix="0" xfId="0">
      <alignment horizontal="center"/>
      <protection locked="0" hidden="0"/>
    </xf>
    <xf numFmtId="43" fontId="48" fillId="0" borderId="2" applyAlignment="1" applyProtection="1" pivotButton="0" quotePrefix="0" xfId="1">
      <alignment horizontal="center"/>
      <protection locked="0" hidden="0"/>
    </xf>
    <xf numFmtId="43" fontId="48" fillId="0" borderId="9" applyAlignment="1" applyProtection="1" pivotButton="0" quotePrefix="0" xfId="1">
      <alignment horizontal="center"/>
      <protection locked="0" hidden="0"/>
    </xf>
    <xf numFmtId="0" fontId="49" fillId="0" borderId="21" applyAlignment="1" applyProtection="1" pivotButton="0" quotePrefix="0" xfId="0">
      <alignment horizontal="center"/>
      <protection locked="0" hidden="0"/>
    </xf>
    <xf numFmtId="0" fontId="49" fillId="0" borderId="22" applyAlignment="1" applyProtection="1" pivotButton="0" quotePrefix="0" xfId="0">
      <alignment horizontal="center"/>
      <protection locked="0" hidden="0"/>
    </xf>
    <xf numFmtId="0" fontId="49" fillId="0" borderId="23" applyAlignment="1" applyProtection="1" pivotButton="0" quotePrefix="0" xfId="0">
      <alignment horizontal="center"/>
      <protection locked="0" hidden="0"/>
    </xf>
    <xf numFmtId="43" fontId="48" fillId="0" borderId="10" applyAlignment="1" applyProtection="1" pivotButton="0" quotePrefix="0" xfId="1">
      <alignment horizontal="center"/>
      <protection locked="0" hidden="0"/>
    </xf>
    <xf numFmtId="0" fontId="45" fillId="0" borderId="2" applyAlignment="1" pivotButton="0" quotePrefix="0" xfId="0">
      <alignment horizontal="center"/>
    </xf>
    <xf numFmtId="0" fontId="45" fillId="0" borderId="8" applyAlignment="1" pivotButton="0" quotePrefix="0" xfId="0">
      <alignment horizontal="center"/>
    </xf>
    <xf numFmtId="0" fontId="45" fillId="0" borderId="9" applyAlignment="1" pivotButton="0" quotePrefix="0" xfId="0">
      <alignment horizontal="center"/>
    </xf>
    <xf numFmtId="0" fontId="48" fillId="0" borderId="18" applyAlignment="1" applyProtection="1" pivotButton="0" quotePrefix="0" xfId="0">
      <alignment horizontal="center"/>
      <protection locked="0" hidden="0"/>
    </xf>
    <xf numFmtId="0" fontId="48" fillId="0" borderId="19" applyAlignment="1" applyProtection="1" pivotButton="0" quotePrefix="0" xfId="0">
      <alignment horizontal="center"/>
      <protection locked="0" hidden="0"/>
    </xf>
    <xf numFmtId="0" fontId="48" fillId="0" borderId="20" applyAlignment="1" applyProtection="1" pivotButton="0" quotePrefix="0" xfId="0">
      <alignment horizontal="center"/>
      <protection locked="0" hidden="0"/>
    </xf>
    <xf numFmtId="0" fontId="49" fillId="0" borderId="2" applyAlignment="1" pivotButton="0" quotePrefix="0" xfId="0">
      <alignment horizontal="center"/>
    </xf>
    <xf numFmtId="0" fontId="49" fillId="0" borderId="9" applyAlignment="1" pivotButton="0" quotePrefix="0" xfId="0">
      <alignment horizontal="center"/>
    </xf>
    <xf numFmtId="0" fontId="52" fillId="7" borderId="0" applyAlignment="1" pivotButton="0" quotePrefix="0" xfId="3">
      <alignment horizontal="center" vertical="center" wrapText="1"/>
    </xf>
    <xf numFmtId="0" fontId="45" fillId="0" borderId="0" applyAlignment="1" pivotButton="0" quotePrefix="0" xfId="0">
      <alignment horizontal="left" vertical="center"/>
    </xf>
    <xf numFmtId="0" fontId="48" fillId="0" borderId="12" applyAlignment="1" applyProtection="1" pivotButton="0" quotePrefix="0" xfId="0">
      <alignment horizontal="center"/>
      <protection locked="0" hidden="0"/>
    </xf>
    <xf numFmtId="0" fontId="48" fillId="0" borderId="13" applyAlignment="1" applyProtection="1" pivotButton="0" quotePrefix="0" xfId="0">
      <alignment horizontal="center"/>
      <protection locked="0" hidden="0"/>
    </xf>
    <xf numFmtId="0" fontId="48" fillId="0" borderId="14" applyAlignment="1" applyProtection="1" pivotButton="0" quotePrefix="0" xfId="0">
      <alignment horizontal="center"/>
      <protection locked="0" hidden="0"/>
    </xf>
    <xf numFmtId="0" fontId="9" fillId="0" borderId="0" applyAlignment="1" pivotButton="0" quotePrefix="0" xfId="0">
      <alignment vertical="center"/>
    </xf>
    <xf numFmtId="0" fontId="7" fillId="0" borderId="0" applyAlignment="1" pivotButton="0" quotePrefix="0" xfId="0">
      <alignment vertical="center"/>
    </xf>
    <xf numFmtId="0" fontId="28" fillId="0" borderId="0" applyAlignment="1" pivotButton="0" quotePrefix="0" xfId="0">
      <alignment horizontal="center" vertical="center"/>
    </xf>
    <xf numFmtId="0" fontId="9" fillId="0" borderId="0" applyAlignment="1" pivotButton="0" quotePrefix="0" xfId="0">
      <alignment horizontal="left" vertical="center"/>
    </xf>
    <xf numFmtId="0" fontId="42" fillId="0" borderId="16" applyAlignment="1" pivotButton="0" quotePrefix="0" xfId="0">
      <alignment horizontal="left"/>
    </xf>
    <xf numFmtId="49" fontId="42" fillId="12" borderId="16" applyAlignment="1" pivotButton="0" quotePrefix="0" xfId="7">
      <alignment wrapText="1"/>
    </xf>
    <xf numFmtId="0" fontId="7" fillId="0" borderId="4" applyAlignment="1" pivotButton="0" quotePrefix="0" xfId="0">
      <alignment horizontal="left"/>
    </xf>
    <xf numFmtId="0" fontId="7" fillId="0" borderId="17" applyAlignment="1" pivotButton="0" quotePrefix="0" xfId="0">
      <alignment horizontal="left"/>
    </xf>
    <xf numFmtId="0" fontId="7" fillId="0" borderId="2" applyAlignment="1" pivotButton="0" quotePrefix="0" xfId="0">
      <alignment horizontal="left"/>
    </xf>
    <xf numFmtId="0" fontId="7" fillId="0" borderId="9" applyAlignment="1" pivotButton="0" quotePrefix="0" xfId="0">
      <alignment horizontal="left"/>
    </xf>
    <xf numFmtId="0" fontId="25" fillId="0" borderId="0" applyAlignment="1" pivotButton="0" quotePrefix="0" xfId="0">
      <alignment horizontal="left" vertical="center"/>
    </xf>
    <xf numFmtId="0" fontId="7" fillId="0" borderId="0" applyAlignment="1" pivotButton="0" quotePrefix="0" xfId="0">
      <alignment horizontal="left"/>
    </xf>
    <xf numFmtId="0" fontId="9" fillId="0" borderId="0" applyAlignment="1" pivotButton="0" quotePrefix="1" xfId="0">
      <alignment horizontal="left"/>
    </xf>
    <xf numFmtId="0" fontId="9" fillId="0" borderId="0" applyAlignment="1" pivotButton="0" quotePrefix="0" xfId="0">
      <alignment horizontal="left"/>
    </xf>
    <xf numFmtId="0" fontId="35" fillId="0" borderId="0" applyAlignment="1" pivotButton="0" quotePrefix="0" xfId="3">
      <alignment horizontal="center" vertical="center"/>
    </xf>
    <xf numFmtId="0" fontId="9" fillId="0" borderId="1" applyAlignment="1" pivotButton="0" quotePrefix="0" xfId="0">
      <alignment horizontal="center" vertical="center"/>
    </xf>
    <xf numFmtId="0" fontId="7" fillId="0" borderId="0" applyAlignment="1" pivotButton="0" quotePrefix="0" xfId="0">
      <alignment horizontal="left" vertical="center"/>
    </xf>
    <xf numFmtId="0" fontId="35" fillId="7" borderId="0" applyAlignment="1" pivotButton="0" quotePrefix="0" xfId="3">
      <alignment horizontal="center" vertical="center"/>
    </xf>
    <xf numFmtId="0" fontId="29" fillId="7" borderId="0" applyAlignment="1" pivotButton="0" quotePrefix="0" xfId="3">
      <alignment horizontal="center" vertical="center"/>
    </xf>
    <xf numFmtId="0" fontId="0" fillId="0" borderId="33" pivotButton="0" quotePrefix="0" xfId="0"/>
    <xf numFmtId="0" fontId="48" fillId="0" borderId="6" applyAlignment="1" applyProtection="1" pivotButton="0" quotePrefix="0" xfId="0">
      <alignment horizontal="center"/>
      <protection locked="0" hidden="0"/>
    </xf>
    <xf numFmtId="0" fontId="0" fillId="0" borderId="17" applyProtection="1" pivotButton="0" quotePrefix="0" xfId="0">
      <protection locked="0" hidden="0"/>
    </xf>
    <xf numFmtId="0" fontId="48" fillId="0" borderId="1" applyAlignment="1" applyProtection="1" pivotButton="0" quotePrefix="0" xfId="0">
      <alignment horizontal="center"/>
      <protection locked="0" hidden="0"/>
    </xf>
    <xf numFmtId="0" fontId="0" fillId="0" borderId="9" applyProtection="1" pivotButton="0" quotePrefix="0" xfId="0">
      <protection locked="0" hidden="0"/>
    </xf>
    <xf numFmtId="43" fontId="48" fillId="0" borderId="1" applyAlignment="1" applyProtection="1" pivotButton="0" quotePrefix="0" xfId="1">
      <alignment horizontal="center"/>
      <protection locked="0" hidden="0"/>
    </xf>
    <xf numFmtId="43" fontId="48" fillId="0" borderId="36" applyAlignment="1" applyProtection="1" pivotButton="0" quotePrefix="0" xfId="1">
      <alignment horizontal="center"/>
      <protection locked="0" hidden="0"/>
    </xf>
    <xf numFmtId="0" fontId="45" fillId="0" borderId="1" applyAlignment="1" pivotButton="0" quotePrefix="0" xfId="0">
      <alignment horizontal="center"/>
    </xf>
    <xf numFmtId="0" fontId="0" fillId="0" borderId="8" pivotButton="0" quotePrefix="0" xfId="0"/>
    <xf numFmtId="0" fontId="0" fillId="0" borderId="9" pivotButton="0" quotePrefix="0" xfId="0"/>
    <xf numFmtId="0" fontId="49" fillId="0" borderId="35" applyAlignment="1" applyProtection="1" pivotButton="0" quotePrefix="0" xfId="0">
      <alignment horizontal="center"/>
      <protection locked="0" hidden="0"/>
    </xf>
    <xf numFmtId="0" fontId="0" fillId="0" borderId="22" applyProtection="1" pivotButton="0" quotePrefix="0" xfId="0">
      <protection locked="0" hidden="0"/>
    </xf>
    <xf numFmtId="0" fontId="0" fillId="0" borderId="23" applyProtection="1" pivotButton="0" quotePrefix="0" xfId="0">
      <protection locked="0" hidden="0"/>
    </xf>
    <xf numFmtId="0" fontId="48" fillId="0" borderId="28" applyAlignment="1" applyProtection="1" pivotButton="0" quotePrefix="0" xfId="0">
      <alignment horizontal="center"/>
      <protection locked="0" hidden="0"/>
    </xf>
    <xf numFmtId="0" fontId="0" fillId="0" borderId="19" applyProtection="1" pivotButton="0" quotePrefix="0" xfId="0">
      <protection locked="0" hidden="0"/>
    </xf>
    <xf numFmtId="0" fontId="0" fillId="0" borderId="20" applyProtection="1" pivotButton="0" quotePrefix="0" xfId="0">
      <protection locked="0" hidden="0"/>
    </xf>
    <xf numFmtId="0" fontId="48" fillId="0" borderId="32" applyAlignment="1" applyProtection="1" pivotButton="0" quotePrefix="0" xfId="0">
      <alignment horizontal="center"/>
      <protection locked="0" hidden="0"/>
    </xf>
    <xf numFmtId="0" fontId="0" fillId="0" borderId="8" applyProtection="1" pivotButton="0" quotePrefix="0" xfId="0">
      <protection locked="0" hidden="0"/>
    </xf>
    <xf numFmtId="0" fontId="0" fillId="0" borderId="11" applyProtection="1" pivotButton="0" quotePrefix="0" xfId="0">
      <protection locked="0" hidden="0"/>
    </xf>
    <xf numFmtId="0" fontId="48" fillId="0" borderId="30" applyAlignment="1" applyProtection="1" pivotButton="0" quotePrefix="0" xfId="0">
      <alignment horizontal="center"/>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48" fillId="0" borderId="0" pivotButton="0" quotePrefix="0" xfId="0"/>
    <xf numFmtId="0" fontId="49" fillId="0" borderId="1" applyAlignment="1" pivotButton="0" quotePrefix="0" xfId="0">
      <alignment horizontal="center"/>
    </xf>
    <xf numFmtId="168" fontId="7" fillId="8" borderId="6" applyProtection="1" pivotButton="0" quotePrefix="0" xfId="0">
      <protection locked="0" hidden="0"/>
    </xf>
    <xf numFmtId="168" fontId="7" fillId="8" borderId="1" applyProtection="1" pivotButton="0" quotePrefix="0" xfId="0">
      <protection locked="0" hidden="0"/>
    </xf>
    <xf numFmtId="168" fontId="9" fillId="0" borderId="1" pivotButton="0" quotePrefix="0" xfId="0"/>
    <xf numFmtId="165" fontId="7" fillId="0" borderId="1" applyAlignment="1" pivotButton="0" quotePrefix="0" xfId="2">
      <alignment horizontal="center"/>
    </xf>
    <xf numFmtId="165" fontId="7" fillId="5" borderId="1" pivotButton="0" quotePrefix="0" xfId="2"/>
    <xf numFmtId="165" fontId="7" fillId="0" borderId="0" pivotButton="0" quotePrefix="0" xfId="2"/>
    <xf numFmtId="165" fontId="7" fillId="0" borderId="1" pivotButton="0" quotePrefix="0" xfId="2"/>
    <xf numFmtId="169" fontId="18" fillId="0" borderId="0" pivotButton="0" quotePrefix="0" xfId="0"/>
    <xf numFmtId="165" fontId="18" fillId="0" borderId="0" pivotButton="0" quotePrefix="0" xfId="0"/>
    <xf numFmtId="165" fontId="17" fillId="0" borderId="0" pivotButton="0" quotePrefix="0" xfId="0"/>
    <xf numFmtId="168" fontId="7" fillId="0" borderId="0" applyProtection="1" pivotButton="0" quotePrefix="0" xfId="0">
      <protection locked="0" hidden="0"/>
    </xf>
    <xf numFmtId="0" fontId="0" fillId="0" borderId="22" pivotButton="0" quotePrefix="0" xfId="0"/>
    <xf numFmtId="165" fontId="7" fillId="8" borderId="1" applyAlignment="1" applyProtection="1" pivotButton="0" quotePrefix="0" xfId="0">
      <alignment horizontal="right" vertical="center"/>
      <protection locked="0" hidden="0"/>
    </xf>
    <xf numFmtId="165" fontId="16" fillId="8" borderId="1" applyProtection="1" pivotButton="0" quotePrefix="0" xfId="0">
      <protection locked="0" hidden="0"/>
    </xf>
    <xf numFmtId="165" fontId="9" fillId="0" borderId="1" pivotButton="0" quotePrefix="0" xfId="0"/>
    <xf numFmtId="0" fontId="0" fillId="0" borderId="17" pivotButton="0" quotePrefix="0" xfId="0"/>
    <xf numFmtId="165" fontId="23" fillId="0" borderId="0" pivotButton="0" quotePrefix="0" xfId="2"/>
    <xf numFmtId="165" fontId="16" fillId="0" borderId="0" pivotButton="0" quotePrefix="0" xfId="0"/>
    <xf numFmtId="169" fontId="7" fillId="0" borderId="1" pivotButton="0" quotePrefix="0" xfId="1"/>
    <xf numFmtId="169" fontId="7" fillId="0" borderId="6" pivotButton="0" quotePrefix="0" xfId="1"/>
    <xf numFmtId="170" fontId="7" fillId="0" borderId="1" pivotButton="0" quotePrefix="0" xfId="0"/>
    <xf numFmtId="0" fontId="0" fillId="0" borderId="6" pivotButton="0" quotePrefix="0" xfId="0"/>
    <xf numFmtId="165" fontId="9" fillId="0" borderId="0" applyAlignment="1" pivotButton="0" quotePrefix="0" xfId="2">
      <alignment horizontal="right" vertical="center"/>
    </xf>
    <xf numFmtId="165" fontId="17" fillId="0" borderId="0" applyAlignment="1" pivotButton="0" quotePrefix="0" xfId="2">
      <alignment horizontal="center"/>
    </xf>
    <xf numFmtId="165" fontId="7" fillId="0" borderId="6" applyAlignment="1" pivotButton="0" quotePrefix="0" xfId="0">
      <alignment horizontal="left" vertical="center" wrapText="1"/>
    </xf>
    <xf numFmtId="165" fontId="7" fillId="0" borderId="1" applyAlignment="1" pivotButton="0" quotePrefix="0" xfId="0">
      <alignment horizontal="left" vertical="center" wrapText="1"/>
    </xf>
    <xf numFmtId="165" fontId="7" fillId="0" borderId="0" applyAlignment="1" pivotButton="0" quotePrefix="0" xfId="0">
      <alignment horizontal="left"/>
    </xf>
    <xf numFmtId="165" fontId="7" fillId="0" borderId="0" applyAlignment="1" pivotButton="0" quotePrefix="0" xfId="0">
      <alignment horizontal="left" vertical="center" wrapText="1"/>
    </xf>
    <xf numFmtId="165" fontId="7" fillId="0" borderId="0" applyAlignment="1" pivotButton="0" quotePrefix="0" xfId="2">
      <alignment vertical="center"/>
    </xf>
    <xf numFmtId="165" fontId="7" fillId="0" borderId="0" applyAlignment="1" pivotButton="0" quotePrefix="0" xfId="2">
      <alignment vertical="center" wrapText="1"/>
    </xf>
    <xf numFmtId="169" fontId="7" fillId="0" borderId="6" pivotButton="0" quotePrefix="0" xfId="2"/>
    <xf numFmtId="171" fontId="7" fillId="0" borderId="1" pivotButton="0" quotePrefix="0" xfId="1"/>
    <xf numFmtId="171" fontId="7" fillId="0" borderId="1" pivotButton="0" quotePrefix="0" xfId="0"/>
    <xf numFmtId="167" fontId="7" fillId="0" borderId="1" pivotButton="0" quotePrefix="0" xfId="0"/>
    <xf numFmtId="165" fontId="7" fillId="0" borderId="6" pivotButton="0" quotePrefix="0" xfId="2"/>
    <xf numFmtId="172" fontId="7" fillId="0" borderId="6" pivotButton="0" quotePrefix="0" xfId="0"/>
  </cellXfs>
  <cellStyles count="13">
    <cellStyle name="Normal" xfId="0" builtinId="0"/>
    <cellStyle name="Comma" xfId="1" builtinId="3"/>
    <cellStyle name="Currency" xfId="2" builtinId="4"/>
    <cellStyle name="Hyperlink" xfId="3" builtinId="8"/>
    <cellStyle name="Normal 2" xfId="4"/>
    <cellStyle name="Percent" xfId="5" builtinId="5"/>
    <cellStyle name="Title 2" xfId="6"/>
    <cellStyle name="Heading 1" xfId="7" builtinId="16"/>
    <cellStyle name="Input" xfId="8" builtinId="20"/>
    <cellStyle name="Calculation" xfId="9" builtinId="22"/>
    <cellStyle name="Comma 2" xfId="10"/>
    <cellStyle name="Currency 2" xfId="11"/>
    <cellStyle name="Percent 2" xfId="12"/>
  </cellStyles>
  <dxfs count="114">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F0000"/>
        </patternFill>
      </fill>
    </dxf>
    <dxf>
      <font>
        <color theme="0" tint="-0.249946592608417"/>
      </font>
    </dxf>
    <dxf>
      <font>
        <color theme="0" tint="-0.249946592608417"/>
      </font>
    </dxf>
    <dxf>
      <font>
        <color theme="0" tint="-0.249946592608417"/>
      </font>
    </dxf>
    <dxf>
      <font>
        <color theme="0" tint="-0.249946592608417"/>
      </font>
    </dxf>
    <dxf>
      <font>
        <color theme="0" tint="-0.249946592608417"/>
      </font>
    </dxf>
    <dxf>
      <font>
        <color theme="0" tint="-0.249946592608417"/>
      </font>
    </dxf>
    <dxf>
      <font>
        <color theme="0" tint="-0.249946592608417"/>
      </font>
    </dxf>
    <dxf>
      <font>
        <color theme="0" tint="-0.249946592608417"/>
      </font>
    </dxf>
    <dxf>
      <font>
        <color theme="0" tint="-0.249946592608417"/>
      </font>
    </dxf>
    <dxf>
      <font>
        <color theme="0" tint="-0.3499862666707358"/>
      </font>
    </dxf>
    <dxf>
      <fill>
        <patternFill>
          <bgColor rgb="FFFFD200"/>
        </patternFill>
      </fill>
    </dxf>
    <dxf>
      <fill>
        <patternFill>
          <bgColor indexed="65"/>
        </patternFill>
      </fill>
    </dxf>
    <dxf>
      <font>
        <color theme="0" tint="-0.249946592608417"/>
      </font>
    </dxf>
    <dxf>
      <font>
        <color theme="0" tint="-0.249946592608417"/>
      </font>
    </dxf>
    <dxf>
      <font>
        <color theme="0" tint="-0.249946592608417"/>
      </font>
    </dxf>
    <dxf>
      <font>
        <color theme="0" tint="-0.249946592608417"/>
      </font>
    </dxf>
    <dxf>
      <font>
        <color theme="0" tint="-0.249946592608417"/>
      </font>
    </dxf>
    <dxf>
      <fill>
        <patternFill>
          <bgColor rgb="FFFFE043"/>
        </patternFill>
      </fill>
    </dxf>
    <dxf>
      <font>
        <color theme="0" tint="-0.249946592608417"/>
      </font>
    </dxf>
    <dxf>
      <fill>
        <patternFill>
          <bgColor rgb="FFFFE043"/>
        </patternFill>
      </fill>
    </dxf>
    <dxf>
      <font>
        <name val="Cambria"/>
        <color theme="4" tint="0.5999633777886288"/>
      </font>
    </dxf>
    <dxf>
      <fill>
        <patternFill>
          <bgColor rgb="FFF89E53"/>
        </patternFill>
      </fill>
    </dxf>
    <dxf>
      <fill>
        <patternFill>
          <bgColor rgb="FFF89E53"/>
        </patternFill>
      </fill>
    </dxf>
    <dxf>
      <font>
        <name val="Cambria"/>
        <color theme="4" tint="0.5999633777886288"/>
      </font>
    </dxf>
    <dxf>
      <font>
        <name val="Cambria"/>
        <color theme="4" tint="0.5999633777886288"/>
      </font>
    </dxf>
    <dxf>
      <fill>
        <patternFill>
          <bgColor rgb="FFFFD200"/>
        </patternFill>
      </fill>
    </dxf>
    <dxf>
      <font>
        <name val="Cambria"/>
        <color theme="4" tint="0.5999633777886288"/>
      </font>
    </dxf>
    <dxf>
      <font>
        <name val="Cambria"/>
        <color theme="4" tint="0.5999633777886288"/>
      </font>
    </dxf>
    <dxf>
      <font>
        <name val="Cambria"/>
        <color theme="4" tint="0.5999633777886288"/>
      </font>
    </dxf>
    <dxf>
      <font>
        <name val="Cambria"/>
        <color theme="0" tint="-0.1499679555650502"/>
      </font>
    </dxf>
    <dxf>
      <fill>
        <patternFill>
          <bgColor rgb="FFF89E53"/>
        </patternFill>
      </fill>
    </dxf>
    <dxf>
      <fill>
        <patternFill>
          <bgColor rgb="FFFFD200"/>
        </patternFill>
      </fill>
    </dxf>
    <dxf>
      <font>
        <name val="Cambria"/>
        <color theme="4" tint="0.5999633777886288"/>
      </font>
    </dxf>
    <dxf>
      <font>
        <name val="Cambria"/>
        <color theme="4" tint="0.5999633777886288"/>
      </font>
    </dxf>
    <dxf>
      <font>
        <name val="Cambria"/>
        <color theme="0" tint="-0.1499679555650502"/>
      </font>
    </dxf>
    <dxf>
      <fill>
        <patternFill>
          <bgColor rgb="FFF89E53"/>
        </patternFill>
      </fill>
    </dxf>
    <dxf>
      <fill>
        <patternFill>
          <bgColor rgb="FFF89E53"/>
        </patternFill>
      </fill>
    </dxf>
    <dxf>
      <fill>
        <patternFill>
          <bgColor rgb="FFFFD200"/>
        </patternFill>
      </fill>
    </dxf>
    <dxf>
      <font>
        <name val="Cambria"/>
        <color theme="4" tint="0.5999633777886288"/>
      </font>
    </dxf>
    <dxf>
      <font>
        <name val="Cambria"/>
        <color theme="4" tint="0.5999633777886288"/>
      </font>
    </dxf>
    <dxf>
      <font>
        <name val="Cambria"/>
        <color theme="4" tint="0.5999633777886288"/>
      </font>
    </dxf>
    <dxf>
      <font>
        <name val="Cambria"/>
        <color theme="0" tint="-0.1499679555650502"/>
      </font>
    </dxf>
    <dxf>
      <fill>
        <patternFill>
          <bgColor rgb="FFF89E53"/>
        </patternFill>
      </fill>
    </dxf>
    <dxf>
      <fill>
        <patternFill>
          <bgColor rgb="FFFFE04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89E53"/>
        </patternFill>
      </fill>
    </dxf>
    <dxf>
      <fill>
        <patternFill>
          <bgColor rgb="FFFFD200"/>
        </patternFill>
      </fill>
    </dxf>
    <dxf>
      <fill>
        <patternFill>
          <bgColor rgb="FFFFD200"/>
        </patternFill>
      </fill>
    </dxf>
    <dxf>
      <fill>
        <patternFill>
          <bgColor rgb="FFFFD200"/>
        </patternFill>
      </fill>
    </dxf>
    <dxf>
      <fill>
        <patternFill>
          <bgColor rgb="FFFFD200"/>
        </patternFill>
      </fill>
    </dxf>
    <dxf>
      <fill>
        <patternFill>
          <bgColor rgb="FFFFD200"/>
        </patternFill>
      </fill>
    </dxf>
    <dxf>
      <fill>
        <patternFill>
          <bgColor rgb="FFFFD200"/>
        </patternFill>
      </fill>
    </dxf>
    <dxf>
      <fill>
        <patternFill>
          <bgColor rgb="FFF89E53"/>
        </patternFill>
      </fill>
    </dxf>
    <dxf>
      <numFmt numFmtId="30" formatCode="@"/>
      <fill>
        <patternFill>
          <bgColor rgb="FFFF0000"/>
        </patternFill>
      </fill>
    </dxf>
    <dxf>
      <font>
        <color rgb="FFFF0000"/>
      </font>
    </dxf>
    <dxf>
      <font>
        <color rgb="FF6A9F42"/>
      </font>
    </dxf>
    <dxf>
      <font>
        <color rgb="FFFF0000"/>
      </font>
    </dxf>
    <dxf>
      <fill>
        <patternFill>
          <bgColor rgb="FFF89E53"/>
        </patternFill>
      </fill>
    </dxf>
    <dxf>
      <fill>
        <patternFill>
          <bgColor rgb="FFF89E53"/>
        </patternFill>
      </fill>
    </dxf>
  </dxfs>
  <tableStyles count="1" defaultTableStyle="TableStyleMedium9" defaultPivotStyle="PivotStyleLight16">
    <tableStyle name="MySqlDefault" pivot="0" table="0" count="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Heather Hendy</author>
  </authors>
  <commentList>
    <comment ref="D7" authorId="0" shapeId="0">
      <text>
        <t xml:space="preserve">Years of depreciation must be 3 or more for the calculations in this workbook to work correctly. 
</t>
      </text>
    </comment>
    <comment ref="B29" authorId="0" shapeId="0">
      <text>
        <t xml:space="preserve">Existing businesses should use the calculator at the bottom of this page to determine the Working Capital amount. Calculate the number, then enter it here. 
</t>
      </text>
    </comment>
  </commentList>
</comments>
</file>

<file path=xl/comments/comment2.xml><?xml version="1.0" encoding="utf-8"?>
<comments xmlns="http://schemas.openxmlformats.org/spreadsheetml/2006/main">
  <authors>
    <author>Heather Hendy</author>
    <author>Joseph Clarke</author>
    <author>SCOREUSER</author>
  </authors>
  <commentList>
    <comment ref="F8" authorId="0" shapeId="0">
      <text>
        <t xml:space="preserve">These cells have been auto-populated, but can be overwritten if your payroll expenses increase over time. To restore the auto-population, enter this formula in the cell: =F[insert row number]. For example, the first row in this section would use: =F8. 
</t>
      </text>
    </comment>
    <comment ref="B14" authorId="0" shapeId="0">
      <text>
        <t xml:space="preserve">The Wage Base limit is the maximum earned gross income on which a given tax may be imposed. If you are paying a salary above that amount, you'll need to factor that into your calculation. The amounts below are for 2012.
</t>
      </text>
    </comment>
    <comment ref="C15" authorId="1" shapeId="0">
      <text>
        <t xml:space="preserve">This number will be an approximation of the FICA taxes. If the salaries of individuals exceed the wage base limit, this number will overstate the FICA tax and should be adjusted.
</t>
      </text>
    </comment>
    <comment ref="C17" authorId="0" shapeId="0">
      <text>
        <t xml:space="preserve">The Federal Unemployment tax rate was 6.2% from January 1, 2011 through June 30, 2011; and decreased to 6.0% as of July 1, 2011. It is currently still set at that rate, less a maximum credit of 5.4% for amounts paid under State unemployment insurance laws.  Accordingly, the normal net FUTA tax is 0.6%. This information is as-of November 2015. Check with the IRS for current information. 
</t>
      </text>
    </comment>
    <comment ref="C18" authorId="1" shapeId="0">
      <text>
        <t xml:space="preserve">Each state has different SUTA rates and wage base limits. Tailor this cell to reflect your state's information.
</t>
      </text>
    </comment>
    <comment ref="E19" authorId="2" shapeId="0">
      <text>
        <t xml:space="preserve">
For these benefits, the formula assumes part-time employees are included. If this is not the case, change the formula accordingly.</t>
      </text>
    </comment>
    <comment ref="E20" authorId="2" shapeId="0">
      <text>
        <t xml:space="preserve">
For these benefits, the formula assumes part-time employees are included. If this is not the case, change the formula accordingly.
</t>
      </text>
    </comment>
    <comment ref="E21" authorId="2" shapeId="0">
      <text>
        <t xml:space="preserve">
For these benefits, the formula assumes part-time employees are included. If this is not the case, change the formula accordingly.
</t>
      </text>
    </comment>
    <comment ref="E22" authorId="2" shapeId="0">
      <text>
        <t xml:space="preserve">
For these benefits, the formula assumes part-time employees are included. If this is not the case, change the formula accordingly.
</t>
      </text>
    </comment>
  </commentList>
</comments>
</file>

<file path=xl/comments/comment3.xml><?xml version="1.0" encoding="utf-8"?>
<comments xmlns="http://schemas.openxmlformats.org/spreadsheetml/2006/main">
  <authors>
    <author>Heather Hendy</author>
  </authors>
  <commentList>
    <comment ref="C8" authorId="0" shapeId="0">
      <text>
        <t xml:space="preserve">TIP: Enter these in the plural form! Ex. projects, dresses, bikes, etc.
</t>
      </text>
    </comment>
    <comment ref="E8" authorId="0" shapeId="0">
      <text>
        <t xml:space="preserve">TIP: Click here to access a calculator that can help you determine your COGS per unit.
</t>
      </text>
    </comment>
  </commentList>
</comments>
</file>

<file path=xl/comments/comment4.xml><?xml version="1.0" encoding="utf-8"?>
<comments xmlns="http://schemas.openxmlformats.org/spreadsheetml/2006/main">
  <authors>
    <author>SCORE:</author>
    <author>SCORE</author>
    <author>Heather Hendy</author>
  </authors>
  <commentList>
    <comment ref="B9" authorId="0" shapeId="0">
      <text>
        <t xml:space="preserve">
If you are a retail business or don't have accounts receivable put 100% for each year. </t>
      </text>
    </comment>
    <comment ref="B10" authorId="1" shapeId="0">
      <text>
        <t xml:space="preserve">
In this field put the percentage of your sales that you expect to carry as A/R. If your business sells in cash, put 0%. Otherwise, estimate the percentage that will be paid between 30 and 60 days after sale.</t>
      </text>
    </comment>
    <comment ref="B11" authorId="1" shapeId="0">
      <text>
        <t xml:space="preserve">
In this field put the percentage of your sales that you expect to carry as A/R but not paid for more than 60 days. If your business sells in cash, put 0%. Otherwise, estimate the percentage that will be paid more than 60 days after sale.</t>
      </text>
    </comment>
    <comment ref="B12" authorId="0" shapeId="0">
      <text>
        <t xml:space="preserve">
Allowance for bad debt is the percentage of total A/R you believe will not be collectable for whatever reason. It could be because your customer becomes insolvent or goes out of business. 
If you can find an industry average for your industry, use that percentage. If in doubt, use either 0 or 1%. Many businesses that have good collection processes may have substantially less than 1% during a strong economy. Bankers like to see a figure here because it lets them know you are realistic about discounting the total value of your A/R as collateral for a potential loan. </t>
      </text>
    </comment>
    <comment ref="D24" authorId="2" shapeId="0">
      <text>
        <t xml:space="preserve">How low do you want to let your ending cash balance to get? The minimum should be $0, but you might want to choose $1000, $5000, etc. 
</t>
      </text>
    </comment>
    <comment ref="B27" authorId="2" shapeId="0">
      <text>
        <t xml:space="preserve">
Use this space to add items purchased after the date of the starting point (Tab 1a).</t>
      </text>
    </comment>
  </commentList>
</comments>
</file>

<file path=xl/comments/comment5.xml><?xml version="1.0" encoding="utf-8"?>
<comments xmlns="http://schemas.openxmlformats.org/spreadsheetml/2006/main">
  <authors>
    <author>Heather Hendy</author>
    <author>Joe Clarke</author>
  </authors>
  <commentList>
    <comment ref="B22" authorId="0" shapeId="0">
      <text>
        <t xml:space="preserve">This line allows you to approximate the personal income tax of the owner(s). This is the tax on the profit for the business.  
</t>
      </text>
    </comment>
    <comment ref="B25" authorId="1" shapeId="0">
      <text>
        <t xml:space="preserve">Only record owner's draws above those already listed on the payroll tabs.
</t>
      </text>
    </comment>
  </commentList>
</comments>
</file>

<file path=xl/comments/comment6.xml><?xml version="1.0" encoding="utf-8"?>
<comments xmlns="http://schemas.openxmlformats.org/spreadsheetml/2006/main">
  <authors>
    <author>Joe Clarke</author>
  </authors>
  <commentList>
    <comment ref="A24" authorId="0" shapeId="0">
      <text>
        <t xml:space="preserve">Only record owner's draws above those already listed on the payroll tabs.
</t>
      </text>
    </comment>
  </commentList>
</comments>
</file>

<file path=xl/comments/comment7.xml><?xml version="1.0" encoding="utf-8"?>
<comments xmlns="http://schemas.openxmlformats.org/spreadsheetml/2006/main">
  <authors>
    <author>Heather Hendy</author>
  </authors>
  <commentList>
    <comment ref="B45" authorId="0" shapeId="0">
      <text>
        <t xml:space="preserve">
Also known as EBITDA (Earnings Before Interest, Taxes,  Depreciation and Amortization). This metric allows for a comparison across different businesses, which might have different levels of taxes, depreciation, or interest. This number should be used in conjunction with other metrics, as it does not give a full picture of the health of the business. 
</t>
      </text>
    </comment>
  </commentList>
</comments>
</file>

<file path=xl/comments/comment8.xml><?xml version="1.0" encoding="utf-8"?>
<comments xmlns="http://schemas.openxmlformats.org/spreadsheetml/2006/main">
  <authors>
    <author>Heather Hendy</author>
  </authors>
  <commentList>
    <comment ref="B44" authorId="0" shapeId="0">
      <text>
        <t xml:space="preserve">
Also known as EBITDA (Earnings Before Interest, Taxes,  Depreciation and Amortization). This metric allows for a comparison across different businesses, which might have different levels of taxes, depreciation, or interest. This number should be used in conjunction with other metrics, as it does not give a full picture of the health of the business. 
</t>
      </text>
    </comment>
  </commentList>
</comments>
</file>

<file path=xl/comments/comment9.xml><?xml version="1.0" encoding="utf-8"?>
<comments xmlns="http://schemas.openxmlformats.org/spreadsheetml/2006/main">
  <authors>
    <author>Heather Hendy</author>
    <author>Jack Hess</author>
  </authors>
  <commentList>
    <comment ref="F7" authorId="0" shapeId="0">
      <text>
        <t xml:space="preserve">
With some research, you can find industry norms for each ratio. The Risk Management Association provides Annual Statement Studies with this information, for a fee. Visit your local library to see if they have a free copy you can use. You can also refer to trade magazines or other sources of industry data, such as www.bizstats.com or  http://biz.yahoo.com/p/industries.html. You may need to use a mix of sources, as one source may not provide all of the data. Speak with your mentor to ensure that the industry norms you are using are relevant to your business. 
Leave this column blank if you do not have the industry information. 
</t>
      </text>
    </comment>
    <comment ref="C9" authorId="1" shapeId="0">
      <text>
        <t>An indication of a company's ability to meet short-term debt obligations.</t>
      </text>
    </comment>
    <comment ref="C10" authorId="1" shapeId="0">
      <text>
        <t>The ratio between all assets quickly convertible into cash and current liabilities. Measures a company's liquidity. Also called acid-test ratio.</t>
      </text>
    </comment>
    <comment ref="C12" authorId="1" shapeId="0">
      <text>
        <t>This ratio expresses the relationship between capital contributed by creditors and that contributed by owners.</t>
      </text>
    </comment>
    <comment ref="C13" authorId="1" shapeId="0">
      <text>
        <t>This ratio indicates how well your cash flow covers debt and the capability of the business to take on additional debt.</t>
      </text>
    </comment>
    <comment ref="C15" authorId="1" shapeId="0">
      <text>
        <t>This ratio calculates the percentage of increase (or decrease) in sales between the current year and the previous year.</t>
      </text>
    </comment>
    <comment ref="C16" authorId="1" shapeId="0">
      <text>
        <t>The percentage of sales used to pay for the COGS (expenses which directly vary with sales) is expressed in this ratio.</t>
      </text>
    </comment>
    <comment ref="C17" authorId="1" shapeId="0">
      <text>
        <t>This ratio indicates how much profit is earned on your products without consideration of indirect costs, selling and administration costs.</t>
      </text>
    </comment>
    <comment ref="C18" authorId="1" shapeId="0">
      <text>
        <t>This ratio measures the percentage of selling, general and administrative costs to your amount of sales.</t>
      </text>
    </comment>
    <comment ref="C19" authorId="1" shapeId="0">
      <text>
        <t>Net profit margin shows how much profit comes from every dollar of sales.</t>
      </text>
    </comment>
    <comment ref="C20" authorId="1" shapeId="0">
      <text>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text>
    </comment>
    <comment ref="C21" authorId="1" shapeId="0">
      <text>
        <t>This ratio measures how effectively assets are used to generate a return.</t>
      </text>
    </comment>
    <comment ref="C22" authorId="1" shapeId="0">
      <text>
        <t>This ratio measures the owner's compensation as a percentage of sales.</t>
      </text>
    </comment>
    <comment ref="C24" authorId="1" shapeId="0">
      <text>
        <t>Days in receivable calculates the average number of days it takes to collect your account receivable (number of days of sales in receivables).</t>
      </text>
    </comment>
    <comment ref="C25" authorId="1" shapeId="0">
      <text>
        <t>This ratio tells you the number of times accounts receivable turnover during the year.</t>
      </text>
    </comment>
    <comment ref="C26" authorId="1" shapeId="0">
      <text>
        <t>This ratio shows the average number of days it will take to sell your inventory.</t>
      </text>
    </comment>
    <comment ref="C27" authorId="1" shapeId="0">
      <text>
        <t>This ratio calculates the number of times inventory is turned over (or sold) during the year.</t>
      </text>
    </comment>
    <comment ref="C28" authorId="1" shapeId="0">
      <text>
        <t>This ratio indicates how efficiently your business generates sales on every dollar of assets.</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0</row>
      <rowOff>0</rowOff>
    </from>
    <to>
      <col>6</col>
      <colOff>632460</colOff>
      <row>5</row>
      <rowOff>43542</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7772400" cy="111034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SCORE">
      <a:dk1>
        <a:sysClr val="windowText" lastClr="000000"/>
      </a:dk1>
      <a:lt1>
        <a:sysClr val="window" lastClr="FFFFFF"/>
      </a:lt1>
      <a:dk2>
        <a:srgbClr val="006EB7"/>
      </a:dk2>
      <a:lt2>
        <a:srgbClr val="30A1FF"/>
      </a:lt2>
      <a:accent1>
        <a:srgbClr val="6A9F42"/>
      </a:accent1>
      <a:accent2>
        <a:srgbClr val="FFD200"/>
      </a:accent2>
      <a:accent3>
        <a:srgbClr val="265288"/>
      </a:accent3>
      <a:accent4>
        <a:srgbClr val="423616"/>
      </a:accent4>
      <a:accent5>
        <a:srgbClr val="464648"/>
      </a:accent5>
      <a:accent6>
        <a:srgbClr val="BCD2E6"/>
      </a:accent6>
      <a:hlink>
        <a:srgbClr val="30A1FF"/>
      </a:hlink>
      <a:folHlink>
        <a:srgbClr val="26528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codeName="Sheet1">
    <tabColor rgb="FFF89E53"/>
    <outlinePr summaryBelow="1" summaryRight="1"/>
    <pageSetUpPr fitToPage="1"/>
  </sheetPr>
  <dimension ref="A6:P47"/>
  <sheetViews>
    <sheetView showGridLines="0" tabSelected="1" zoomScaleNormal="100" workbookViewId="0">
      <selection activeCell="K35" sqref="K35"/>
    </sheetView>
  </sheetViews>
  <sheetFormatPr baseColWidth="8" defaultColWidth="8.83984375" defaultRowHeight="16.8"/>
  <cols>
    <col width="5.26171875" customWidth="1" style="1" min="1" max="1"/>
    <col width="11" customWidth="1" style="1" min="2" max="2"/>
    <col width="28" customWidth="1" style="1" min="3" max="3"/>
    <col width="21.68359375" bestFit="1" customWidth="1" style="1" min="4" max="4"/>
    <col width="17.26171875" bestFit="1" customWidth="1" style="1" min="5" max="5"/>
    <col width="15.41796875" bestFit="1" customWidth="1" style="1" min="6" max="6"/>
    <col width="8.83984375" customWidth="1" style="1" min="7" max="7"/>
    <col width="9.68359375" bestFit="1" customWidth="1" style="1" min="8" max="8"/>
    <col width="8.83984375" customWidth="1" style="1" min="9" max="11"/>
    <col width="19.15625" customWidth="1" style="1" min="12" max="12"/>
    <col width="13.41796875" bestFit="1" customWidth="1" style="1" min="13" max="13"/>
    <col width="8.83984375" customWidth="1" style="1" min="14" max="16384"/>
  </cols>
  <sheetData>
    <row r="6">
      <c r="A6" s="468" t="n"/>
      <c r="B6" s="25" t="n"/>
      <c r="C6" s="25" t="n"/>
      <c r="D6" s="25" t="n"/>
      <c r="E6" s="25" t="n"/>
      <c r="F6" s="25" t="n"/>
      <c r="G6" s="25" t="n"/>
      <c r="H6" s="25" t="n"/>
      <c r="I6" s="25" t="n"/>
      <c r="J6" s="25" t="n"/>
      <c r="K6" s="25" t="n"/>
      <c r="L6" s="25" t="n"/>
      <c r="M6" s="25" t="n"/>
      <c r="N6" s="25" t="n"/>
    </row>
    <row r="7">
      <c r="B7" s="472" t="inlineStr">
        <is>
          <t>Step 1 - Enter info about your company in yellow shaded boxes below.</t>
        </is>
      </c>
    </row>
    <row r="8">
      <c r="B8" s="3" t="n"/>
      <c r="M8" s="4" t="n"/>
    </row>
    <row r="9" ht="17.1" customHeight="1" thickBot="1">
      <c r="B9" s="3" t="n"/>
      <c r="C9" s="342" t="inlineStr">
        <is>
          <t>Preparer Name</t>
        </is>
      </c>
      <c r="D9" s="342" t="inlineStr">
        <is>
          <t>Company Name</t>
        </is>
      </c>
      <c r="E9" s="342" t="inlineStr">
        <is>
          <t>Starting Month</t>
        </is>
      </c>
      <c r="F9" s="342" t="inlineStr">
        <is>
          <t>Starting Year</t>
        </is>
      </c>
      <c r="M9" s="4" t="n"/>
    </row>
    <row r="10" ht="17.1" customHeight="1" thickTop="1">
      <c r="B10" s="3" t="n"/>
      <c r="C10" s="321" t="n"/>
      <c r="D10" s="321" t="n"/>
      <c r="E10" s="321" t="n"/>
      <c r="F10" s="321" t="n"/>
      <c r="M10" s="4" t="n"/>
    </row>
    <row r="12">
      <c r="B12" s="472" t="inlineStr">
        <is>
          <t>Step 2 - Read the following instructions</t>
        </is>
      </c>
    </row>
    <row r="33">
      <c r="L33" s="460" t="n"/>
      <c r="M33" s="460" t="n"/>
      <c r="N33" s="460" t="n"/>
      <c r="O33" s="460" t="n"/>
      <c r="P33" s="460" t="n"/>
    </row>
    <row r="34">
      <c r="L34" s="460" t="n"/>
      <c r="M34" s="460" t="n"/>
      <c r="N34" s="460" t="n"/>
      <c r="O34" s="460" t="n"/>
      <c r="P34" s="460" t="n"/>
    </row>
    <row r="35">
      <c r="L35" s="460" t="n"/>
      <c r="M35" s="460" t="n"/>
      <c r="N35" s="460" t="n"/>
      <c r="O35" s="460" t="n"/>
      <c r="P35" s="460" t="n"/>
    </row>
    <row r="36">
      <c r="A36" s="437" t="n"/>
      <c r="B36" s="438" t="n"/>
      <c r="C36" s="440">
        <f>IF(ISBLANK(E10),-10000,MONTH(DATEVALUE(E10&amp;" 1")))</f>
        <v/>
      </c>
      <c r="D36" s="438" t="n"/>
      <c r="E36" s="438" t="n"/>
      <c r="F36" s="438" t="n"/>
      <c r="G36" s="438" t="n"/>
      <c r="H36" s="438" t="n"/>
      <c r="I36" s="438" t="n"/>
      <c r="J36" s="438" t="n"/>
      <c r="K36" s="438" t="n"/>
      <c r="L36" s="438" t="n"/>
      <c r="M36" s="438" t="n"/>
      <c r="N36" s="460" t="n"/>
      <c r="O36" s="460" t="n"/>
      <c r="P36" s="460" t="n"/>
    </row>
    <row r="37">
      <c r="A37" s="437" t="n"/>
      <c r="B37" s="438" t="n"/>
      <c r="C37" s="440" t="n"/>
      <c r="D37" s="438" t="n"/>
      <c r="E37" s="438" t="n"/>
      <c r="F37" s="438" t="n"/>
      <c r="G37" s="438" t="n"/>
      <c r="H37" s="438" t="n"/>
      <c r="I37" s="438" t="n"/>
      <c r="J37" s="438" t="n"/>
      <c r="K37" s="438" t="n"/>
      <c r="L37" s="438" t="n"/>
      <c r="M37" s="438" t="n"/>
      <c r="N37" s="460" t="n"/>
      <c r="O37" s="460" t="n"/>
      <c r="P37" s="460" t="n"/>
    </row>
    <row r="38">
      <c r="A38" s="437" t="n"/>
      <c r="B38" s="438">
        <f>IF(Directions!$C$36&gt;0,CHOOSE(Directions!$C$36,"January","February","March","April","May","June","July","August","September","October","November","December"),"Month 1")</f>
        <v/>
      </c>
      <c r="C38" s="440">
        <f>IF(Directions!$C$36+1&gt;12,CHOOSE(Directions!$C$36+1-12,"January","February","March","April","May","June","July","August","September","October","November","December"),IF(Directions!$C$36&lt;0,"Month 2",(CHOOSE(Directions!$C$36+1,"January","February","March","April","May","June","July","August","September","October","November","December"))))</f>
        <v/>
      </c>
      <c r="D38" s="440">
        <f>IF(Directions!$C$36+2&gt;12,CHOOSE(Directions!$C$36+2-12,"January","February","March","April","May","June","July","August","September","October","November","December"),IF(Directions!$C$36&lt;0,"Month 3",CHOOSE(Directions!$C$36+2,"January","February","March","April","May","June","July","August","September","October","November","December")))</f>
        <v/>
      </c>
      <c r="E38" s="440">
        <f>IF(Directions!$C$36+3&gt;12,CHOOSE(Directions!$C$36+3-12,"January","February","March","April","May","June","July","August","September","October","November","December"),IF(Directions!$C$36&lt;0,"Month 4",CHOOSE(Directions!$C$36+3,"January","February","March","April","May","June","July","August","September","October","November","December")))</f>
        <v/>
      </c>
      <c r="F38" s="440">
        <f>IF(Directions!$C$36+4&gt;12,CHOOSE(Directions!$C$36+4-12,"January","February","March","April","May","June","July","August","September","October","November","December"),IF(Directions!$C$36&lt;0,"Month 5",CHOOSE(Directions!$C$36+4,"January","February","March","April","May","June","July","August","September","October","November","December")))</f>
        <v/>
      </c>
      <c r="G38" s="440">
        <f>IF(Directions!$C$36+5&gt;12,CHOOSE(Directions!$C$36+5-12,"January","February","March","April","May","June","July","August","September","October","November","December"),IF(Directions!$C$36&lt;0,"Month 6",CHOOSE(Directions!$C$36+5,"January","February","March","April","May","June","July","August","September","October","November","December")))</f>
        <v/>
      </c>
      <c r="H38" s="440">
        <f>IF(Directions!$C$36+6&gt;12,CHOOSE(Directions!$C$36+6-12,"January","February","March","April","May","June","July","August","September","October","November","December"),IF(Directions!$C$36&lt;0,"Month 7",CHOOSE(Directions!$C$36+6,"January","February","March","April","May","June","July","August","September","October","November","December")))</f>
        <v/>
      </c>
      <c r="I38" s="440">
        <f>IF(Directions!$C$36+7&gt;12,CHOOSE(Directions!$C$36+7-12,"January","February","March","April","May","June","July","August","September","October","November","December"),IF(Directions!$C$36&lt;0,"Month 8",CHOOSE(Directions!$C$36+7,"January","February","March","April","May","June","July","August","September","October","November","December")))</f>
        <v/>
      </c>
      <c r="J38" s="440">
        <f>IF(Directions!$C$36+8&gt;12,CHOOSE(Directions!$C$36+8-12,"January","February","March","April","May","June","July","August","September","October","November","December"),IF(Directions!$C$36&lt;0,"Month 9",CHOOSE(Directions!$C$36+8,"January","February","March","April","May","June","July","August","September","October","November","December")))</f>
        <v/>
      </c>
      <c r="K38" s="440">
        <f>IF(Directions!$C$36+9&gt;12,CHOOSE(Directions!$C$36+9-12,"January","February","March","April","May","June","July","August","September","October","November","December"),IF(Directions!$C$36&lt;0,"Month 10",CHOOSE(Directions!$C$36+9,"January","February","March","April","May","June","July","August","September","October","November","December")))</f>
        <v/>
      </c>
      <c r="L38" s="440">
        <f>IF(Directions!$C$36+10&gt;12,CHOOSE(Directions!$C$36+10-12,"January","February","March","April","May","June","July","August","September","October","November","December"),IF(Directions!$C$36&lt;0,"Month 11",CHOOSE(Directions!$C$36+10,"January","February","March","April","May","June","July","August","September","October","November","December")))</f>
        <v/>
      </c>
      <c r="M38" s="440">
        <f>IF(Directions!$C$36+11&gt;12,CHOOSE(Directions!$C$36+11-12,"January","February","March","April","May","June","July","August","September","October","November","December"),IF(Directions!$C$36&lt;0,"Month 12",CHOOSE(Directions!$C$36+11,"January","February","March","April","May","June","July","August","September","October","November","December")))</f>
        <v/>
      </c>
      <c r="N38" s="460" t="n"/>
      <c r="O38" s="460" t="n"/>
      <c r="P38" s="460" t="n"/>
    </row>
    <row r="39">
      <c r="A39" s="437" t="n"/>
      <c r="B39" s="437" t="n"/>
      <c r="C39" s="440" t="n"/>
      <c r="D39" s="437" t="n"/>
      <c r="E39" s="437" t="n"/>
      <c r="F39" s="437" t="n"/>
      <c r="G39" s="437" t="n"/>
      <c r="H39" s="437" t="n"/>
      <c r="I39" s="437" t="n"/>
      <c r="J39" s="437" t="n"/>
      <c r="K39" s="437" t="n"/>
      <c r="L39" s="437" t="n"/>
      <c r="M39" s="437" t="n"/>
      <c r="N39" s="460" t="n"/>
      <c r="O39" s="460" t="n"/>
      <c r="P39" s="460" t="n"/>
    </row>
    <row r="40">
      <c r="A40" s="437" t="n"/>
      <c r="B40" s="437" t="n"/>
      <c r="C40" s="437" t="n"/>
      <c r="D40" s="437" t="n"/>
      <c r="E40" s="437" t="n"/>
      <c r="F40" s="437" t="n"/>
      <c r="G40" s="437" t="n"/>
      <c r="H40" s="437" t="n"/>
      <c r="I40" s="437" t="n"/>
      <c r="J40" s="437" t="n"/>
      <c r="K40" s="437" t="n"/>
      <c r="L40" s="437" t="n"/>
      <c r="M40" s="437" t="n"/>
      <c r="N40" s="460" t="n"/>
      <c r="O40" s="460" t="n"/>
      <c r="P40" s="460" t="n"/>
    </row>
    <row r="41">
      <c r="B41" s="460" t="n"/>
      <c r="C41" s="460" t="n"/>
      <c r="D41" s="460" t="n"/>
      <c r="E41" s="460" t="n"/>
      <c r="F41" s="460" t="n"/>
      <c r="G41" s="460" t="n"/>
      <c r="H41" s="460" t="n"/>
      <c r="I41" s="460" t="n"/>
      <c r="J41" s="460" t="n"/>
      <c r="K41" s="460" t="n"/>
      <c r="L41" s="460" t="n"/>
      <c r="M41" s="460" t="n"/>
      <c r="N41" s="460" t="n"/>
      <c r="O41" s="460" t="n"/>
      <c r="P41" s="460" t="n"/>
    </row>
    <row r="42">
      <c r="L42" s="460" t="n"/>
      <c r="M42" s="460" t="n"/>
      <c r="N42" s="460" t="n"/>
      <c r="O42" s="460" t="n"/>
      <c r="P42" s="460" t="n"/>
    </row>
    <row r="44">
      <c r="E44" s="2" t="n"/>
    </row>
    <row r="45">
      <c r="B45" s="472" t="n"/>
    </row>
    <row r="47">
      <c r="B47" s="2" t="n"/>
      <c r="C47" s="2" t="n"/>
      <c r="D47" s="2" t="n"/>
    </row>
  </sheetData>
  <mergeCells count="3">
    <mergeCell ref="B45:D45"/>
    <mergeCell ref="B12:E12"/>
    <mergeCell ref="B7:F7"/>
  </mergeCells>
  <conditionalFormatting sqref="C10:F10">
    <cfRule type="containsBlanks" priority="7" dxfId="0">
      <formula>LEN(TRIM(C10))=0</formula>
    </cfRule>
  </conditionalFormatting>
  <printOptions horizontalCentered="1"/>
  <pageMargins left="0.25" right="0.25" top="0.75" bottom="0.75" header="0.3" footer="0.3"/>
  <pageSetup orientation="landscape" scale="69"/>
  <headerFooter scaleWithDoc="0">
    <oddHeader>&amp;L&amp;9 &amp;G&amp;R&amp;G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4">
    <tabColor rgb="FFFFC95B"/>
    <outlinePr summaryBelow="1" summaryRight="1"/>
    <pageSetUpPr fitToPage="1"/>
  </sheetPr>
  <dimension ref="B2:L53"/>
  <sheetViews>
    <sheetView topLeftCell="A4" zoomScaleNormal="100" zoomScalePageLayoutView="60" workbookViewId="0">
      <selection activeCell="C15" sqref="C15"/>
    </sheetView>
  </sheetViews>
  <sheetFormatPr baseColWidth="8" defaultColWidth="8.83984375" defaultRowHeight="14.7"/>
  <cols>
    <col width="8.83984375" customWidth="1" style="391" min="1" max="1"/>
    <col width="35" bestFit="1" customWidth="1" style="391" min="2" max="2"/>
    <col width="20.68359375" customWidth="1" style="391" min="3" max="3"/>
    <col width="21.578125" bestFit="1" customWidth="1" style="391" min="4" max="4"/>
    <col width="11.15625" bestFit="1" customWidth="1" style="391" min="5" max="5"/>
    <col width="22.26171875" customWidth="1" style="391" min="6" max="6"/>
    <col width="19.68359375" bestFit="1" customWidth="1" style="391" min="7" max="7"/>
    <col width="16.41796875" customWidth="1" style="391" min="8" max="8"/>
    <col width="8.83984375" customWidth="1" style="391" min="9" max="16384"/>
  </cols>
  <sheetData>
    <row r="2">
      <c r="B2" s="497" t="inlineStr">
        <is>
          <t>Start-up Expenses Year 1 (Starting Balance Sheet)</t>
        </is>
      </c>
    </row>
    <row r="3">
      <c r="B3" s="392" t="n"/>
      <c r="C3" s="392" t="n"/>
    </row>
    <row r="4" ht="18" customHeight="1">
      <c r="B4" s="393" t="inlineStr">
        <is>
          <t>Grant</t>
        </is>
      </c>
      <c r="C4" s="394" t="inlineStr">
        <is>
          <t>Amber's Angels</t>
        </is>
      </c>
    </row>
    <row r="5">
      <c r="B5" s="395">
        <f>IF(ISBLANK(Directions!C10), "Owner", Directions!C10)</f>
        <v/>
      </c>
      <c r="C5" s="391">
        <f>IF(ISBLANK(Directions!D10), "Company 1", Directions!D10)</f>
        <v/>
      </c>
    </row>
    <row r="6">
      <c r="D6" s="395" t="n"/>
      <c r="E6" s="395" t="n"/>
      <c r="F6" s="395" t="n"/>
      <c r="G6" s="395" t="n"/>
    </row>
    <row r="7" ht="17.25" customHeight="1" thickBot="1">
      <c r="B7" s="477" t="inlineStr">
        <is>
          <t>Fixed Assets</t>
        </is>
      </c>
      <c r="C7" s="477" t="inlineStr">
        <is>
          <t>Amount</t>
        </is>
      </c>
      <c r="D7" s="477" t="inlineStr">
        <is>
          <t>Depreciation (years)</t>
        </is>
      </c>
      <c r="E7" s="477" t="inlineStr">
        <is>
          <t>Notes</t>
        </is>
      </c>
      <c r="F7" s="520" t="n"/>
      <c r="G7" s="397" t="n"/>
    </row>
    <row r="8" ht="15" customHeight="1" thickTop="1">
      <c r="B8" s="398" t="n"/>
      <c r="C8" s="399" t="n"/>
      <c r="D8" s="399" t="n"/>
      <c r="E8" s="521" t="n"/>
      <c r="F8" s="522" t="n"/>
      <c r="G8" s="400" t="n"/>
    </row>
    <row r="9">
      <c r="B9" s="401" t="inlineStr">
        <is>
          <t>Real Estate-Land</t>
        </is>
      </c>
      <c r="C9" s="402" t="n"/>
      <c r="D9" s="461" t="inlineStr">
        <is>
          <t>Not Depreciated</t>
        </is>
      </c>
      <c r="E9" s="523" t="n"/>
      <c r="F9" s="524" t="n"/>
      <c r="G9" s="400" t="n"/>
    </row>
    <row r="10">
      <c r="B10" s="401" t="inlineStr">
        <is>
          <t>Real Estate-Buildings</t>
        </is>
      </c>
      <c r="C10" s="403" t="n"/>
      <c r="D10" s="404" t="n">
        <v>20</v>
      </c>
      <c r="E10" s="525" t="n"/>
      <c r="F10" s="524" t="n"/>
      <c r="G10" s="405" t="n"/>
    </row>
    <row r="11">
      <c r="B11" s="401" t="inlineStr">
        <is>
          <t>Leasehold Improvements</t>
        </is>
      </c>
      <c r="C11" s="403" t="n">
        <v>2500</v>
      </c>
      <c r="D11" s="404" t="n">
        <v>7</v>
      </c>
      <c r="E11" s="525" t="n"/>
      <c r="F11" s="524" t="n"/>
      <c r="G11" s="405" t="n"/>
    </row>
    <row r="12">
      <c r="B12" s="401" t="inlineStr">
        <is>
          <t>Equipment</t>
        </is>
      </c>
      <c r="C12" s="403" t="n"/>
      <c r="D12" s="404" t="n">
        <v>7</v>
      </c>
      <c r="E12" s="525" t="n"/>
      <c r="F12" s="524" t="n"/>
      <c r="G12" s="405" t="n"/>
    </row>
    <row r="13">
      <c r="B13" s="401" t="inlineStr">
        <is>
          <t>Furniture and Fixtures</t>
        </is>
      </c>
      <c r="C13" s="403" t="n"/>
      <c r="D13" s="404" t="n">
        <v>5</v>
      </c>
      <c r="E13" s="525" t="n"/>
      <c r="F13" s="524" t="n"/>
      <c r="G13" s="405" t="n"/>
    </row>
    <row r="14">
      <c r="B14" s="401" t="inlineStr">
        <is>
          <t>Vehicles</t>
        </is>
      </c>
      <c r="C14" s="403" t="n"/>
      <c r="D14" s="404" t="n">
        <v>5</v>
      </c>
      <c r="E14" s="525" t="n"/>
      <c r="F14" s="524" t="n"/>
      <c r="G14" s="405" t="n"/>
    </row>
    <row r="15">
      <c r="B15" s="401" t="inlineStr">
        <is>
          <t>Other</t>
        </is>
      </c>
      <c r="C15" s="403" t="n"/>
      <c r="D15" s="404" t="n">
        <v>5</v>
      </c>
      <c r="E15" s="525" t="n"/>
      <c r="F15" s="524" t="n"/>
      <c r="G15" s="405" t="n"/>
    </row>
    <row r="16">
      <c r="B16" s="406" t="inlineStr">
        <is>
          <t>Total Fixed Assets</t>
        </is>
      </c>
      <c r="C16" s="407">
        <f>SUM(C9:C15)</f>
        <v/>
      </c>
      <c r="D16" s="408" t="n"/>
      <c r="E16" s="526" t="n"/>
      <c r="F16" s="524" t="n"/>
      <c r="G16" s="405" t="n"/>
    </row>
    <row r="17">
      <c r="B17" s="527" t="n"/>
      <c r="C17" s="528" t="n"/>
      <c r="D17" s="528" t="n"/>
      <c r="E17" s="528" t="n"/>
      <c r="F17" s="529" t="n"/>
      <c r="G17" s="409" t="n"/>
    </row>
    <row r="18" ht="15" customHeight="1" thickBot="1">
      <c r="B18" s="410" t="inlineStr">
        <is>
          <t>Operating Capital</t>
        </is>
      </c>
      <c r="C18" s="411" t="inlineStr">
        <is>
          <t>Amount</t>
        </is>
      </c>
      <c r="D18" s="530" t="inlineStr">
        <is>
          <t>Notes</t>
        </is>
      </c>
      <c r="E18" s="531" t="n"/>
      <c r="F18" s="532" t="n"/>
    </row>
    <row r="19" ht="15" customHeight="1" thickTop="1">
      <c r="B19" s="412" t="inlineStr">
        <is>
          <t>Pre-Opening Salaries and Wages</t>
        </is>
      </c>
      <c r="C19" s="413" t="n"/>
      <c r="D19" s="533" t="n"/>
      <c r="E19" s="534" t="n"/>
      <c r="F19" s="535" t="n"/>
    </row>
    <row r="20">
      <c r="B20" s="406" t="inlineStr">
        <is>
          <t>Prepaid Insurance Premiums</t>
        </is>
      </c>
      <c r="C20" s="403" t="n"/>
      <c r="D20" s="536" t="n"/>
      <c r="E20" s="537" t="n"/>
      <c r="F20" s="538" t="n"/>
    </row>
    <row r="21">
      <c r="B21" s="406" t="inlineStr">
        <is>
          <t>Inventory</t>
        </is>
      </c>
      <c r="C21" s="403" t="n">
        <v>400</v>
      </c>
      <c r="D21" s="536" t="n"/>
      <c r="E21" s="537" t="n"/>
      <c r="F21" s="538" t="n"/>
    </row>
    <row r="22">
      <c r="B22" s="406" t="inlineStr">
        <is>
          <t>Legal and Accounting Fees</t>
        </is>
      </c>
      <c r="C22" s="403" t="n"/>
      <c r="D22" s="536" t="n"/>
      <c r="E22" s="537" t="n"/>
      <c r="F22" s="538" t="n"/>
    </row>
    <row r="23">
      <c r="B23" s="406" t="inlineStr">
        <is>
          <t>Rent Deposits</t>
        </is>
      </c>
      <c r="C23" s="403" t="n"/>
      <c r="D23" s="536" t="n"/>
      <c r="E23" s="537" t="n"/>
      <c r="F23" s="538" t="n"/>
    </row>
    <row r="24">
      <c r="B24" s="406" t="inlineStr">
        <is>
          <t>Utility Deposits</t>
        </is>
      </c>
      <c r="C24" s="403" t="n"/>
      <c r="D24" s="536" t="n"/>
      <c r="E24" s="537" t="n"/>
      <c r="F24" s="538" t="n"/>
    </row>
    <row r="25">
      <c r="B25" s="406" t="inlineStr">
        <is>
          <t>Supplies</t>
        </is>
      </c>
      <c r="C25" s="403" t="n"/>
      <c r="D25" s="536" t="n"/>
      <c r="E25" s="537" t="n"/>
      <c r="F25" s="538" t="n"/>
      <c r="G25" s="414" t="n"/>
    </row>
    <row r="26">
      <c r="B26" s="406" t="inlineStr">
        <is>
          <t>Advertising and Promotions</t>
        </is>
      </c>
      <c r="C26" s="403" t="n">
        <v>1200</v>
      </c>
      <c r="D26" s="536" t="n"/>
      <c r="E26" s="537" t="n"/>
      <c r="F26" s="538" t="n"/>
    </row>
    <row r="27">
      <c r="B27" s="406" t="inlineStr">
        <is>
          <t>Licenses</t>
        </is>
      </c>
      <c r="C27" s="403" t="n"/>
      <c r="D27" s="536" t="n"/>
      <c r="E27" s="537" t="n"/>
      <c r="F27" s="538" t="n"/>
    </row>
    <row r="28">
      <c r="B28" s="406" t="inlineStr">
        <is>
          <t>Other Initial Start-Up Costs</t>
        </is>
      </c>
      <c r="C28" s="403" t="n"/>
      <c r="D28" s="536" t="n"/>
      <c r="E28" s="537" t="n"/>
      <c r="F28" s="538" t="n"/>
    </row>
    <row r="29">
      <c r="B29" s="415" t="inlineStr">
        <is>
          <t>Working Capital (Cash On Hand)</t>
        </is>
      </c>
      <c r="C29" s="403" t="n"/>
      <c r="D29" s="536" t="n"/>
      <c r="E29" s="537" t="n"/>
      <c r="F29" s="538" t="n"/>
    </row>
    <row r="30">
      <c r="B30" s="406" t="inlineStr">
        <is>
          <t>Total Operating Capital</t>
        </is>
      </c>
      <c r="C30" s="416">
        <f>SUM(C19:C29)</f>
        <v/>
      </c>
      <c r="D30" s="536" t="n"/>
      <c r="E30" s="537" t="n"/>
      <c r="F30" s="538" t="n"/>
    </row>
    <row r="31" ht="15" customHeight="1" thickBot="1">
      <c r="B31" s="406" t="inlineStr">
        <is>
          <t>Total Required Funds</t>
        </is>
      </c>
      <c r="C31" s="417">
        <f>C16+C30</f>
        <v/>
      </c>
      <c r="D31" s="539" t="n"/>
      <c r="E31" s="540" t="n"/>
      <c r="F31" s="541" t="n"/>
    </row>
    <row r="32">
      <c r="B32" s="393" t="n"/>
      <c r="C32" s="542" t="n"/>
      <c r="D32" s="395" t="n"/>
      <c r="E32" s="395" t="n"/>
      <c r="F32" s="419" t="n"/>
      <c r="G32" s="419" t="n"/>
    </row>
    <row r="33" ht="15" customHeight="1" thickBot="1">
      <c r="B33" s="477" t="inlineStr">
        <is>
          <t>Sources of Funding</t>
        </is>
      </c>
      <c r="C33" s="477" t="inlineStr">
        <is>
          <t>Percentage</t>
        </is>
      </c>
      <c r="D33" s="477" t="inlineStr">
        <is>
          <t>Totals</t>
        </is>
      </c>
      <c r="E33" s="477" t="inlineStr">
        <is>
          <t>Loan Rate</t>
        </is>
      </c>
      <c r="F33" s="477" t="inlineStr">
        <is>
          <t>Term in Months</t>
        </is>
      </c>
      <c r="G33" s="477" t="inlineStr">
        <is>
          <t>Monthly Payments</t>
        </is>
      </c>
      <c r="H33" s="477" t="inlineStr">
        <is>
          <t>Notes</t>
        </is>
      </c>
    </row>
    <row r="34" ht="15" customHeight="1" thickTop="1">
      <c r="B34" s="412" t="inlineStr">
        <is>
          <t>Owner's Equity</t>
        </is>
      </c>
      <c r="C34" s="441">
        <f>IF($C$31=0,0,D34/$C$31)</f>
        <v/>
      </c>
      <c r="D34" s="413" t="n"/>
      <c r="E34" s="399" t="n"/>
      <c r="F34" s="420" t="n"/>
      <c r="G34" s="399" t="n"/>
      <c r="H34" s="421" t="n"/>
    </row>
    <row r="35">
      <c r="B35" s="406" t="inlineStr">
        <is>
          <t>Outside Investors</t>
        </is>
      </c>
      <c r="C35" s="443">
        <f>IF($C$31=0,0,D35/$C$31)</f>
        <v/>
      </c>
      <c r="D35" s="403" t="n"/>
      <c r="E35" s="422" t="n"/>
      <c r="F35" s="422" t="n"/>
      <c r="G35" s="422" t="n"/>
      <c r="H35" s="423" t="n"/>
    </row>
    <row r="36">
      <c r="B36" s="406" t="inlineStr">
        <is>
          <t>Additional Loans or Debt</t>
        </is>
      </c>
      <c r="C36" s="443" t="n"/>
      <c r="D36" s="422" t="n"/>
      <c r="E36" s="422" t="n"/>
      <c r="F36" s="422" t="n"/>
      <c r="G36" s="422" t="n"/>
      <c r="H36" s="423" t="n"/>
    </row>
    <row r="37">
      <c r="B37" s="424" t="inlineStr">
        <is>
          <t>Commercial Loan</t>
        </is>
      </c>
      <c r="C37" s="443">
        <f>IF($C$31=0,0,D37/$C$31)</f>
        <v/>
      </c>
      <c r="D37" s="403" t="n"/>
      <c r="E37" s="425" t="n">
        <v>0.09</v>
      </c>
      <c r="F37" s="426" t="n">
        <v>84</v>
      </c>
      <c r="G37" s="427">
        <f>PMT(E37/12,F37,-D37)</f>
        <v/>
      </c>
      <c r="H37" s="423" t="n"/>
    </row>
    <row r="38">
      <c r="B38" s="424" t="inlineStr">
        <is>
          <t>Commercial Mortgage</t>
        </is>
      </c>
      <c r="C38" s="443">
        <f>IF($C$31=0,0,D38/$C$31)</f>
        <v/>
      </c>
      <c r="D38" s="403" t="n"/>
      <c r="E38" s="425" t="n">
        <v>0.09</v>
      </c>
      <c r="F38" s="426" t="n">
        <v>240</v>
      </c>
      <c r="G38" s="427">
        <f>PMT(E38/12,F38,-D38)</f>
        <v/>
      </c>
      <c r="H38" s="423" t="n"/>
      <c r="J38" s="496" t="inlineStr">
        <is>
          <t>See Loan Amortization &amp; Depreciation Schedule</t>
        </is>
      </c>
    </row>
    <row r="39">
      <c r="B39" s="424" t="inlineStr">
        <is>
          <t>Credit Card Debt</t>
        </is>
      </c>
      <c r="C39" s="443">
        <f>IF($C$31=0,0,D39/$C$31)</f>
        <v/>
      </c>
      <c r="D39" s="403" t="n"/>
      <c r="E39" s="425" t="n">
        <v>0.07000000000000001</v>
      </c>
      <c r="F39" s="426" t="n">
        <v>60</v>
      </c>
      <c r="G39" s="427">
        <f>PMT(E39/12,F39,-D39)</f>
        <v/>
      </c>
      <c r="H39" s="423" t="n"/>
    </row>
    <row r="40">
      <c r="B40" s="424" t="inlineStr">
        <is>
          <t>Vehicle Loans</t>
        </is>
      </c>
      <c r="C40" s="443">
        <f>IF($C$31=0,0,D40/$C$31)</f>
        <v/>
      </c>
      <c r="D40" s="403" t="n"/>
      <c r="E40" s="425" t="n">
        <v>0.06</v>
      </c>
      <c r="F40" s="426" t="n">
        <v>48</v>
      </c>
      <c r="G40" s="427">
        <f>PMT(E40/12,F40,-D40)</f>
        <v/>
      </c>
      <c r="H40" s="423" t="n"/>
    </row>
    <row r="41">
      <c r="B41" s="424" t="inlineStr">
        <is>
          <t>Other Bank Debt</t>
        </is>
      </c>
      <c r="C41" s="443">
        <f>IF($C$31=0,0,D41/$C$31)</f>
        <v/>
      </c>
      <c r="D41" s="403" t="n"/>
      <c r="E41" s="425" t="n">
        <v>0.05</v>
      </c>
      <c r="F41" s="426" t="n">
        <v>36</v>
      </c>
      <c r="G41" s="427">
        <f>PMT(E41/12,F41,-D41)</f>
        <v/>
      </c>
      <c r="H41" s="428" t="n"/>
    </row>
    <row r="42">
      <c r="B42" s="406" t="inlineStr">
        <is>
          <t>Total Sources of Funding</t>
        </is>
      </c>
      <c r="C42" s="443">
        <f>IF($C$31=0,0,D42/$C$31)</f>
        <v/>
      </c>
      <c r="D42" s="429">
        <f>SUM(D34:D41)</f>
        <v/>
      </c>
      <c r="E42" s="543" t="inlineStr">
        <is>
          <t>Cell D 42 must equal cell C31</t>
        </is>
      </c>
      <c r="F42" s="529" t="n"/>
      <c r="G42" s="416">
        <f>SUM(G37:G41)</f>
        <v/>
      </c>
      <c r="H42" s="423" t="n"/>
    </row>
    <row r="43">
      <c r="B43" s="406" t="inlineStr">
        <is>
          <t>Total Funding Needed</t>
        </is>
      </c>
      <c r="C43" s="406" t="n"/>
      <c r="D43" s="429">
        <f>C31-D42</f>
        <v/>
      </c>
      <c r="E43" s="527">
        <f>IF(D43&gt;0,"You require more funding (Not Balanced)",IF(D43&lt;0,"Your funding exceeds your needs (Not Balanced)","You are fully funded (Balanced)"))</f>
        <v/>
      </c>
      <c r="F43" s="528" t="n"/>
      <c r="G43" s="529" t="n"/>
      <c r="H43" s="421" t="n"/>
    </row>
    <row r="44">
      <c r="B44" s="430" t="inlineStr"/>
      <c r="C44" s="393" t="n"/>
      <c r="D44" s="393" t="n"/>
      <c r="E44" s="393" t="n"/>
      <c r="F44" s="393" t="n"/>
      <c r="G44" s="393" t="n"/>
    </row>
    <row r="45">
      <c r="B45" s="395" t="n"/>
      <c r="C45" s="393" t="n"/>
      <c r="D45" s="395" t="n"/>
      <c r="E45" s="395" t="n"/>
      <c r="F45" s="395" t="n"/>
    </row>
    <row r="46" ht="15" customHeight="1" thickBot="1">
      <c r="B46" s="473" t="inlineStr">
        <is>
          <t>Existing Businesses ONLY -- Calculating Cash on Hand</t>
        </is>
      </c>
      <c r="C46" s="520" t="n"/>
      <c r="D46" s="395" t="n"/>
      <c r="E46" s="395" t="n"/>
      <c r="F46" s="395" t="n"/>
      <c r="G46" s="395" t="n"/>
    </row>
    <row r="47" ht="15" customHeight="1" thickTop="1">
      <c r="B47" s="399" t="inlineStr">
        <is>
          <t>Cash</t>
        </is>
      </c>
      <c r="C47" s="431" t="n">
        <v>0</v>
      </c>
      <c r="D47" s="395" t="n"/>
      <c r="E47" s="432" t="n"/>
      <c r="F47" s="395" t="n"/>
      <c r="G47" s="419" t="n"/>
    </row>
    <row r="48">
      <c r="B48" s="433" t="inlineStr">
        <is>
          <t>+ Accounts Receivable</t>
        </is>
      </c>
      <c r="C48" s="427" t="n">
        <v>0</v>
      </c>
      <c r="D48" s="395" t="n"/>
      <c r="E48" s="432" t="n"/>
      <c r="F48" s="395" t="n"/>
      <c r="G48" s="419" t="n"/>
    </row>
    <row r="49">
      <c r="B49" s="433" t="inlineStr">
        <is>
          <t>+ Prepaid Expenses</t>
        </is>
      </c>
      <c r="C49" s="427" t="n">
        <v>0</v>
      </c>
      <c r="D49" s="395" t="n"/>
      <c r="E49" s="395" t="n"/>
      <c r="F49" s="395" t="n"/>
      <c r="G49" s="395" t="n"/>
    </row>
    <row r="50">
      <c r="B50" s="433" t="inlineStr">
        <is>
          <t xml:space="preserve">- Accounts Payable </t>
        </is>
      </c>
      <c r="C50" s="427" t="n">
        <v>0</v>
      </c>
      <c r="D50" s="395" t="n"/>
      <c r="E50" s="395" t="n"/>
      <c r="F50" s="395" t="n"/>
      <c r="G50" s="395" t="n"/>
    </row>
    <row r="51">
      <c r="B51" s="433" t="inlineStr">
        <is>
          <t>- Accrued Expenses</t>
        </is>
      </c>
      <c r="C51" s="427" t="n">
        <v>0</v>
      </c>
    </row>
    <row r="52">
      <c r="B52" s="406" t="inlineStr">
        <is>
          <t>Total Cash on Hand</t>
        </is>
      </c>
      <c r="C52" s="429">
        <f>(C47+C48+C49-C50-C51)</f>
        <v/>
      </c>
      <c r="D52" s="434" t="n"/>
    </row>
    <row r="53">
      <c r="D53" s="434" t="n"/>
    </row>
  </sheetData>
  <sheetProtection selectLockedCells="0" selectUnlockedCells="0" sheet="1" objects="1" insertRows="1" insertHyperlinks="1" autoFilter="1" scenarios="1" formatColumns="0" deleteColumns="1" insertColumns="1" pivotTables="1" deleteRows="1" formatCells="1" formatRows="0" sort="1" password="CC3D"/>
  <mergeCells count="30">
    <mergeCell ref="E12:F12"/>
    <mergeCell ref="D27:F27"/>
    <mergeCell ref="B46:C46"/>
    <mergeCell ref="E42:F42"/>
    <mergeCell ref="E14:F14"/>
    <mergeCell ref="E8:F8"/>
    <mergeCell ref="J38:L41"/>
    <mergeCell ref="D28:F28"/>
    <mergeCell ref="E10:F10"/>
    <mergeCell ref="D18:F18"/>
    <mergeCell ref="E13:F13"/>
    <mergeCell ref="D30:F30"/>
    <mergeCell ref="D25:F25"/>
    <mergeCell ref="E9:F9"/>
    <mergeCell ref="B17:F17"/>
    <mergeCell ref="D24:F24"/>
    <mergeCell ref="D29:F29"/>
    <mergeCell ref="D23:F23"/>
    <mergeCell ref="E15:F15"/>
    <mergeCell ref="E11:F11"/>
    <mergeCell ref="D26:F26"/>
    <mergeCell ref="E43:G43"/>
    <mergeCell ref="D20:F20"/>
    <mergeCell ref="D19:F19"/>
    <mergeCell ref="E16:F16"/>
    <mergeCell ref="E7:F7"/>
    <mergeCell ref="D31:F31"/>
    <mergeCell ref="D22:F22"/>
    <mergeCell ref="D21:F21"/>
    <mergeCell ref="B2:D2"/>
  </mergeCells>
  <conditionalFormatting sqref="C9:C15 C19:C29 D34:D35 D37:D41">
    <cfRule type="containsBlanks" priority="25" dxfId="0" stopIfTrue="1">
      <formula>LEN(TRIM(C9))=0</formula>
    </cfRule>
  </conditionalFormatting>
  <conditionalFormatting sqref="D43">
    <cfRule type="cellIs" priority="5" operator="greaterThan" dxfId="109">
      <formula>0</formula>
    </cfRule>
  </conditionalFormatting>
  <conditionalFormatting sqref="E43:G43">
    <cfRule type="containsText" priority="3" operator="containsText" dxfId="110" text="fully">
      <formula>NOT(ISERROR(SEARCH("fully",E43)))</formula>
    </cfRule>
    <cfRule type="containsText" priority="4" operator="containsText" dxfId="109" text="require">
      <formula>NOT(ISERROR(SEARCH("require",E43)))</formula>
    </cfRule>
  </conditionalFormatting>
  <conditionalFormatting sqref="D10:D15">
    <cfRule type="cellIs" priority="1" operator="lessThan" dxfId="108">
      <formula>3</formula>
    </cfRule>
  </conditionalFormatting>
  <hyperlinks>
    <hyperlink ref="J38" location="'Amortization&amp;Depreciation'!A1" display="See Loan Amortization &amp; Depreciation Schedule"/>
  </hyperlinks>
  <printOptions horizontalCentered="1" verticalCentered="1"/>
  <pageMargins left="0.7" right="0.7" top="0.75" bottom="0.75" header="0.3" footer="0.3"/>
  <pageSetup orientation="landscape" scale="59"/>
  <headerFooter scaleWithDoc="0">
    <oddHeader>&amp;C&amp;"Gill Sans MT,Regular"&amp;12 Start-Up Expenses Year 1_x000a_(Starting Balance Sheet)</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16">
    <tabColor rgb="FFFFC95B"/>
    <outlinePr summaryBelow="1" summaryRight="1"/>
    <pageSetUpPr fitToPage="1"/>
  </sheetPr>
  <dimension ref="A1:R31"/>
  <sheetViews>
    <sheetView zoomScaleNormal="100" zoomScalePageLayoutView="50" workbookViewId="0">
      <selection activeCell="D19" sqref="D19"/>
    </sheetView>
  </sheetViews>
  <sheetFormatPr baseColWidth="8" defaultColWidth="9.15625" defaultRowHeight="13.5"/>
  <cols>
    <col width="30.26171875" bestFit="1" customWidth="1" style="46" min="1" max="1"/>
    <col width="16.15625" bestFit="1" customWidth="1" style="46" min="2" max="2"/>
    <col width="14.26171875" customWidth="1" style="46" min="3" max="3"/>
    <col width="12.26171875" customWidth="1" style="46" min="4" max="4"/>
    <col width="16" customWidth="1" style="46" min="5" max="5"/>
    <col width="9.68359375" customWidth="1" style="46" min="6" max="6"/>
    <col width="8" bestFit="1" customWidth="1" style="46" min="7" max="7"/>
    <col width="9.68359375" customWidth="1" style="46" min="8" max="14"/>
    <col width="10.26171875" bestFit="1" customWidth="1" style="46" min="15" max="17"/>
    <col width="12.15625" bestFit="1" customWidth="1" style="46" min="18" max="18"/>
    <col width="9.15625" customWidth="1" style="46" min="19" max="16384"/>
  </cols>
  <sheetData>
    <row r="1">
      <c r="A1" s="9" t="n"/>
      <c r="B1" s="9" t="n"/>
      <c r="C1" s="9" t="n"/>
      <c r="D1" s="9" t="n"/>
      <c r="E1" s="9" t="n"/>
      <c r="F1" s="9" t="n"/>
    </row>
    <row r="2">
      <c r="B2" s="514" t="inlineStr">
        <is>
          <t>Payroll Year 1</t>
        </is>
      </c>
      <c r="C2" s="56" t="n"/>
      <c r="D2" s="56" t="n"/>
      <c r="E2" s="56" t="n"/>
      <c r="F2" s="56" t="n"/>
    </row>
    <row r="3">
      <c r="B3" s="57" t="n"/>
      <c r="C3" s="56" t="n"/>
      <c r="D3" s="56" t="n"/>
      <c r="E3" s="56" t="n"/>
      <c r="F3" s="56" t="n"/>
    </row>
    <row r="4">
      <c r="B4" s="514" t="inlineStr">
        <is>
          <t>Prepared By:</t>
        </is>
      </c>
      <c r="C4" s="501" t="inlineStr">
        <is>
          <t>Company Name:</t>
        </is>
      </c>
      <c r="D4" s="56" t="n"/>
      <c r="E4" s="56" t="n"/>
      <c r="F4" s="56" t="n"/>
    </row>
    <row r="5">
      <c r="B5" s="5">
        <f>IF(ISBLANK(Directions!C10), "Owner", Directions!C10)</f>
        <v/>
      </c>
      <c r="C5" s="46">
        <f>IF(ISBLANK(Directions!D10), "Company 1", Directions!D10)</f>
        <v/>
      </c>
      <c r="D5" s="56" t="n"/>
      <c r="E5" s="56" t="n"/>
      <c r="F5" s="56" t="n"/>
    </row>
    <row r="6">
      <c r="B6" s="9" t="n"/>
      <c r="C6" s="9" t="n"/>
      <c r="D6" s="9" t="n"/>
      <c r="E6" s="9" t="n"/>
      <c r="F6" s="9" t="n"/>
      <c r="G6" s="5" t="n"/>
      <c r="H6" s="5" t="n"/>
      <c r="I6" s="5" t="n"/>
      <c r="J6" s="5" t="n"/>
      <c r="K6" s="5" t="n"/>
      <c r="L6" s="5" t="n"/>
      <c r="M6" s="5" t="n"/>
    </row>
    <row r="7" ht="40.8" customHeight="1" thickBot="1">
      <c r="A7" s="506" t="inlineStr">
        <is>
          <t>Employee Types</t>
        </is>
      </c>
      <c r="B7" s="506" t="inlineStr">
        <is>
          <t>Number of Owners /Employees</t>
        </is>
      </c>
      <c r="C7" s="506" t="inlineStr">
        <is>
          <t>Average Hourly Pay (to 2 decimal places, ex. $15.23)</t>
        </is>
      </c>
      <c r="D7" s="506" t="inlineStr">
        <is>
          <t>Estimated Hrs./Week (per person)</t>
        </is>
      </c>
      <c r="E7" s="506" t="inlineStr">
        <is>
          <t>Estimated Pay/Month (Total)</t>
        </is>
      </c>
      <c r="F7" s="439">
        <f>Directions!B38</f>
        <v/>
      </c>
      <c r="G7" s="439">
        <f>Directions!C38</f>
        <v/>
      </c>
      <c r="H7" s="439">
        <f>Directions!D38</f>
        <v/>
      </c>
      <c r="I7" s="439">
        <f>Directions!E38</f>
        <v/>
      </c>
      <c r="J7" s="439">
        <f>Directions!F38</f>
        <v/>
      </c>
      <c r="K7" s="439">
        <f>Directions!G38</f>
        <v/>
      </c>
      <c r="L7" s="439">
        <f>Directions!H38</f>
        <v/>
      </c>
      <c r="M7" s="439">
        <f>Directions!I38</f>
        <v/>
      </c>
      <c r="N7" s="439">
        <f>Directions!J38</f>
        <v/>
      </c>
      <c r="O7" s="439">
        <f>Directions!K38</f>
        <v/>
      </c>
      <c r="P7" s="439">
        <f>Directions!L38</f>
        <v/>
      </c>
      <c r="Q7" s="439">
        <f>Directions!M38</f>
        <v/>
      </c>
      <c r="R7" s="506" t="inlineStr">
        <is>
          <t>Annual Totals</t>
        </is>
      </c>
    </row>
    <row r="8" ht="13.8" customHeight="1" thickTop="1">
      <c r="A8" s="322" t="inlineStr">
        <is>
          <t>Owner(s)</t>
        </is>
      </c>
      <c r="B8" s="544" t="n"/>
      <c r="C8" s="450" t="n"/>
      <c r="D8" s="464" t="n"/>
      <c r="E8" s="323">
        <f>(C8*D8*B8)*52/12</f>
        <v/>
      </c>
      <c r="F8" s="324">
        <f>E8</f>
        <v/>
      </c>
      <c r="G8" s="324">
        <f>F8</f>
        <v/>
      </c>
      <c r="H8" s="324">
        <f>G8</f>
        <v/>
      </c>
      <c r="I8" s="324">
        <f>H8</f>
        <v/>
      </c>
      <c r="J8" s="324">
        <f>I8</f>
        <v/>
      </c>
      <c r="K8" s="324">
        <f>J8</f>
        <v/>
      </c>
      <c r="L8" s="324">
        <f>K8</f>
        <v/>
      </c>
      <c r="M8" s="324">
        <f>L8</f>
        <v/>
      </c>
      <c r="N8" s="324">
        <f>M8</f>
        <v/>
      </c>
      <c r="O8" s="324">
        <f>N8</f>
        <v/>
      </c>
      <c r="P8" s="324">
        <f>O8</f>
        <v/>
      </c>
      <c r="Q8" s="324">
        <f>P8</f>
        <v/>
      </c>
      <c r="R8" s="325">
        <f>SUM(F8:Q8)</f>
        <v/>
      </c>
    </row>
    <row r="9">
      <c r="A9" s="7" t="inlineStr">
        <is>
          <t>Full-Time Employees</t>
        </is>
      </c>
      <c r="B9" s="545" t="n"/>
      <c r="C9" s="452" t="n"/>
      <c r="D9" s="465" t="n"/>
      <c r="E9" s="60">
        <f>(C9*D9*B9)*52/12</f>
        <v/>
      </c>
      <c r="F9" s="141">
        <f>E9</f>
        <v/>
      </c>
      <c r="G9" s="141">
        <f>F9</f>
        <v/>
      </c>
      <c r="H9" s="141">
        <f>G9</f>
        <v/>
      </c>
      <c r="I9" s="141">
        <f>H9</f>
        <v/>
      </c>
      <c r="J9" s="141">
        <f>I9</f>
        <v/>
      </c>
      <c r="K9" s="141">
        <f>J9</f>
        <v/>
      </c>
      <c r="L9" s="141">
        <f>K9</f>
        <v/>
      </c>
      <c r="M9" s="141">
        <f>L9</f>
        <v/>
      </c>
      <c r="N9" s="141">
        <f>M9</f>
        <v/>
      </c>
      <c r="O9" s="141">
        <f>N9</f>
        <v/>
      </c>
      <c r="P9" s="141">
        <f>O9</f>
        <v/>
      </c>
      <c r="Q9" s="141">
        <f>P9</f>
        <v/>
      </c>
      <c r="R9" s="61">
        <f>SUM(F9:Q9)</f>
        <v/>
      </c>
    </row>
    <row r="10">
      <c r="A10" s="7" t="inlineStr">
        <is>
          <t>Part-Time Employees</t>
        </is>
      </c>
      <c r="B10" s="545" t="n"/>
      <c r="C10" s="452" t="n"/>
      <c r="D10" s="465" t="n"/>
      <c r="E10" s="60">
        <f>(C10*D10*B10)*52/12</f>
        <v/>
      </c>
      <c r="F10" s="141">
        <f>E10</f>
        <v/>
      </c>
      <c r="G10" s="141">
        <f>F10</f>
        <v/>
      </c>
      <c r="H10" s="141">
        <f>G10</f>
        <v/>
      </c>
      <c r="I10" s="141">
        <f>H10</f>
        <v/>
      </c>
      <c r="J10" s="141">
        <f>I10</f>
        <v/>
      </c>
      <c r="K10" s="141">
        <f>J10</f>
        <v/>
      </c>
      <c r="L10" s="141">
        <f>K10</f>
        <v/>
      </c>
      <c r="M10" s="141">
        <f>L10</f>
        <v/>
      </c>
      <c r="N10" s="141">
        <f>M10</f>
        <v/>
      </c>
      <c r="O10" s="141">
        <f>N10</f>
        <v/>
      </c>
      <c r="P10" s="141">
        <f>O10</f>
        <v/>
      </c>
      <c r="Q10" s="141">
        <f>P10</f>
        <v/>
      </c>
      <c r="R10" s="61">
        <f>SUM(F10:Q10)</f>
        <v/>
      </c>
    </row>
    <row r="11">
      <c r="A11" s="7" t="inlineStr">
        <is>
          <t>Independent Contractors</t>
        </is>
      </c>
      <c r="B11" s="545" t="n"/>
      <c r="C11" s="452" t="n"/>
      <c r="D11" s="465" t="n"/>
      <c r="E11" s="60">
        <f>(C11*D11*B11)*52/12</f>
        <v/>
      </c>
      <c r="F11" s="141">
        <f>E11</f>
        <v/>
      </c>
      <c r="G11" s="141">
        <f>F11</f>
        <v/>
      </c>
      <c r="H11" s="141">
        <f>G11</f>
        <v/>
      </c>
      <c r="I11" s="141">
        <f>H11</f>
        <v/>
      </c>
      <c r="J11" s="141">
        <f>I11</f>
        <v/>
      </c>
      <c r="K11" s="141">
        <f>J11</f>
        <v/>
      </c>
      <c r="L11" s="141">
        <f>K11</f>
        <v/>
      </c>
      <c r="M11" s="141">
        <f>L11</f>
        <v/>
      </c>
      <c r="N11" s="141">
        <f>M11</f>
        <v/>
      </c>
      <c r="O11" s="141">
        <f>N11</f>
        <v/>
      </c>
      <c r="P11" s="141">
        <f>O11</f>
        <v/>
      </c>
      <c r="Q11" s="141">
        <f>P11</f>
        <v/>
      </c>
      <c r="R11" s="61">
        <f>SUM(F11:Q11)</f>
        <v/>
      </c>
    </row>
    <row r="12">
      <c r="A12" s="26" t="inlineStr">
        <is>
          <t>Total Salaries and Wages</t>
        </is>
      </c>
      <c r="B12" s="546">
        <f>SUM(B8:B11)</f>
        <v/>
      </c>
      <c r="C12" s="547">
        <f>SUM(C8:C11)</f>
        <v/>
      </c>
      <c r="D12" s="463">
        <f>SUM(D8:D11)</f>
        <v/>
      </c>
      <c r="E12" s="60">
        <f>SUM(E8:E11)</f>
        <v/>
      </c>
      <c r="F12" s="61">
        <f>SUM(F8:F11)</f>
        <v/>
      </c>
      <c r="G12" s="61">
        <f>SUM(G8:G11)</f>
        <v/>
      </c>
      <c r="H12" s="61">
        <f>SUM(H8:H11)</f>
        <v/>
      </c>
      <c r="I12" s="61">
        <f>SUM(I8:I11)</f>
        <v/>
      </c>
      <c r="J12" s="61">
        <f>SUM(J8:J11)</f>
        <v/>
      </c>
      <c r="K12" s="61">
        <f>SUM(K8:K11)</f>
        <v/>
      </c>
      <c r="L12" s="61">
        <f>SUM(L8:L11)</f>
        <v/>
      </c>
      <c r="M12" s="61">
        <f>SUM(M8:M11)</f>
        <v/>
      </c>
      <c r="N12" s="61">
        <f>SUM(N8:N11)</f>
        <v/>
      </c>
      <c r="O12" s="61">
        <f>SUM(O8:O11)</f>
        <v/>
      </c>
      <c r="P12" s="61">
        <f>SUM(P8:P11)</f>
        <v/>
      </c>
      <c r="Q12" s="61">
        <f>SUM(Q8:Q11)</f>
        <v/>
      </c>
      <c r="R12" s="61">
        <f>SUM(R8:R11)</f>
        <v/>
      </c>
    </row>
    <row r="13">
      <c r="A13" s="63" t="n"/>
      <c r="B13" s="63" t="n"/>
      <c r="C13" s="64" t="n"/>
      <c r="D13" s="65" t="n"/>
      <c r="E13" s="65" t="n"/>
      <c r="F13" s="65" t="n"/>
      <c r="G13" s="65" t="n"/>
      <c r="H13" s="65" t="n"/>
      <c r="I13" s="66" t="n"/>
      <c r="J13" s="66" t="n"/>
      <c r="K13" s="66" t="n"/>
      <c r="L13" s="66" t="n"/>
      <c r="M13" s="66" t="n"/>
      <c r="N13" s="66" t="n"/>
      <c r="O13" s="66" t="n"/>
      <c r="P13" s="66" t="n"/>
      <c r="Q13" s="66" t="n"/>
      <c r="R13" s="548" t="n"/>
    </row>
    <row r="14" ht="40.8" customHeight="1" thickBot="1">
      <c r="A14" s="506" t="inlineStr">
        <is>
          <t>Payroll Taxes and Benefits</t>
        </is>
      </c>
      <c r="B14" s="506" t="inlineStr">
        <is>
          <t>Wage Base Limit</t>
        </is>
      </c>
      <c r="C14" s="506" t="inlineStr">
        <is>
          <t>Percentage of Salary/Wage</t>
        </is>
      </c>
      <c r="D14" s="506" t="n"/>
      <c r="E14" s="506" t="inlineStr">
        <is>
          <t>Estimated Taxes &amp; Benefits/Month (Total)</t>
        </is>
      </c>
      <c r="F14" s="506">
        <f>'3a-SalesForecastYear1'!C16</f>
        <v/>
      </c>
      <c r="G14" s="506">
        <f>'3a-SalesForecastYear1'!D16</f>
        <v/>
      </c>
      <c r="H14" s="506">
        <f>'3a-SalesForecastYear1'!E16</f>
        <v/>
      </c>
      <c r="I14" s="506">
        <f>'3a-SalesForecastYear1'!F16</f>
        <v/>
      </c>
      <c r="J14" s="506">
        <f>'3a-SalesForecastYear1'!G16</f>
        <v/>
      </c>
      <c r="K14" s="506">
        <f>'3a-SalesForecastYear1'!H16</f>
        <v/>
      </c>
      <c r="L14" s="506">
        <f>'3a-SalesForecastYear1'!I16</f>
        <v/>
      </c>
      <c r="M14" s="506">
        <f>'3a-SalesForecastYear1'!J16</f>
        <v/>
      </c>
      <c r="N14" s="506">
        <f>'3a-SalesForecastYear1'!K16</f>
        <v/>
      </c>
      <c r="O14" s="506">
        <f>'3a-SalesForecastYear1'!L16</f>
        <v/>
      </c>
      <c r="P14" s="506">
        <f>'3a-SalesForecastYear1'!M16</f>
        <v/>
      </c>
      <c r="Q14" s="506">
        <f>'3a-SalesForecastYear1'!N16</f>
        <v/>
      </c>
      <c r="R14" s="506">
        <f>'3a-SalesForecastYear1'!O16</f>
        <v/>
      </c>
    </row>
    <row r="15" ht="13.8" customHeight="1" thickTop="1">
      <c r="A15" s="322" t="inlineStr">
        <is>
          <t>Social Security</t>
        </is>
      </c>
      <c r="B15" s="323" t="n">
        <v>137700</v>
      </c>
      <c r="C15" s="326" t="n">
        <v>0.062</v>
      </c>
      <c r="D15" s="327" t="n"/>
      <c r="E15" s="328">
        <f>(E$8+E$9+E$10)*$C$15</f>
        <v/>
      </c>
      <c r="F15" s="324">
        <f>(F$8+F$9+F$10)*$C$15</f>
        <v/>
      </c>
      <c r="G15" s="324">
        <f>(G$8+G$9+G$10)*$C$15</f>
        <v/>
      </c>
      <c r="H15" s="324">
        <f>(H$8+H$9+H$10)*$C$15</f>
        <v/>
      </c>
      <c r="I15" s="324">
        <f>(I$8+I$9+I$10)*$C$15</f>
        <v/>
      </c>
      <c r="J15" s="324">
        <f>(J$8+J$9+J$10)*$C$15</f>
        <v/>
      </c>
      <c r="K15" s="324">
        <f>(K$8+K$9+K$10)*$C$15</f>
        <v/>
      </c>
      <c r="L15" s="324">
        <f>(L$8+L$9+L$10)*$C$15</f>
        <v/>
      </c>
      <c r="M15" s="324">
        <f>(M$8+M$9+M$10)*$C$15</f>
        <v/>
      </c>
      <c r="N15" s="324">
        <f>(N$8+N$9+N$10)*$C$15</f>
        <v/>
      </c>
      <c r="O15" s="324">
        <f>(O$8+O$9+O$10)*$C$15</f>
        <v/>
      </c>
      <c r="P15" s="324">
        <f>(P$8+P$9+P$10)*$C$15</f>
        <v/>
      </c>
      <c r="Q15" s="324">
        <f>(Q$8+Q$9+Q$10)*$C$15</f>
        <v/>
      </c>
      <c r="R15" s="325">
        <f>SUM(F15:Q15)</f>
        <v/>
      </c>
    </row>
    <row r="16">
      <c r="A16" s="7" t="inlineStr">
        <is>
          <t>Medicare</t>
        </is>
      </c>
      <c r="B16" s="143" t="inlineStr">
        <is>
          <t>--</t>
        </is>
      </c>
      <c r="C16" s="142" t="n">
        <v>0.0145</v>
      </c>
      <c r="D16" s="69" t="n"/>
      <c r="E16" s="70">
        <f>(E$8+E$9+E$10)*$C$16</f>
        <v/>
      </c>
      <c r="F16" s="141">
        <f>(F$8+F$9+F$10)*$C$16</f>
        <v/>
      </c>
      <c r="G16" s="141">
        <f>(G$8+G$9+G$10)*$C$16</f>
        <v/>
      </c>
      <c r="H16" s="141">
        <f>(H$8+H$9+H$10)*$C$16</f>
        <v/>
      </c>
      <c r="I16" s="141">
        <f>(I$8+I$9+I$10)*$C$16</f>
        <v/>
      </c>
      <c r="J16" s="141">
        <f>(J$8+J$9+J$10)*$C$16</f>
        <v/>
      </c>
      <c r="K16" s="141">
        <f>(K$8+K$9+K$10)*$C$16</f>
        <v/>
      </c>
      <c r="L16" s="141">
        <f>(L$8+L$9+L$10)*$C$16</f>
        <v/>
      </c>
      <c r="M16" s="141">
        <f>(M$8+M$9+M$10)*$C$16</f>
        <v/>
      </c>
      <c r="N16" s="141">
        <f>(N$8+N$9+N$10)*$C$16</f>
        <v/>
      </c>
      <c r="O16" s="141">
        <f>(O$8+O$9+O$10)*$C$16</f>
        <v/>
      </c>
      <c r="P16" s="141">
        <f>(P$8+P$9+P$10)*$C$16</f>
        <v/>
      </c>
      <c r="Q16" s="141">
        <f>(Q$8+Q$9+Q$10)*$C$16</f>
        <v/>
      </c>
      <c r="R16" s="61">
        <f>SUM(F16:Q16)</f>
        <v/>
      </c>
    </row>
    <row r="17">
      <c r="A17" s="7" t="inlineStr">
        <is>
          <t>Federal Unemployment Tax (FUTA)</t>
        </is>
      </c>
      <c r="B17" s="144" t="n">
        <v>7000</v>
      </c>
      <c r="C17" s="142" t="n">
        <v>0.006</v>
      </c>
      <c r="D17" s="69" t="n"/>
      <c r="E17" s="70">
        <f>+$B$12*B17*C17/12</f>
        <v/>
      </c>
      <c r="F17" s="141">
        <f>E17</f>
        <v/>
      </c>
      <c r="G17" s="141">
        <f>F17</f>
        <v/>
      </c>
      <c r="H17" s="141">
        <f>G17</f>
        <v/>
      </c>
      <c r="I17" s="141">
        <f>H17</f>
        <v/>
      </c>
      <c r="J17" s="141">
        <f>I17</f>
        <v/>
      </c>
      <c r="K17" s="141">
        <f>J17</f>
        <v/>
      </c>
      <c r="L17" s="141">
        <f>K17</f>
        <v/>
      </c>
      <c r="M17" s="141">
        <f>L17</f>
        <v/>
      </c>
      <c r="N17" s="141">
        <f>M17</f>
        <v/>
      </c>
      <c r="O17" s="141">
        <f>N17</f>
        <v/>
      </c>
      <c r="P17" s="141">
        <f>O17</f>
        <v/>
      </c>
      <c r="Q17" s="141">
        <f>P17</f>
        <v/>
      </c>
      <c r="R17" s="61">
        <f>SUM(F17:Q17)</f>
        <v/>
      </c>
    </row>
    <row r="18">
      <c r="A18" s="7" t="inlineStr">
        <is>
          <t>State Unemployment Tax (SUTA)</t>
        </is>
      </c>
      <c r="B18" s="144" t="n">
        <v>7000</v>
      </c>
      <c r="C18" s="142" t="n">
        <v>0.0345</v>
      </c>
      <c r="D18" s="69" t="n"/>
      <c r="E18" s="70">
        <f>+$B$12*B18*C18/12</f>
        <v/>
      </c>
      <c r="F18" s="141">
        <f>E18</f>
        <v/>
      </c>
      <c r="G18" s="141">
        <f>F18</f>
        <v/>
      </c>
      <c r="H18" s="141">
        <f>G18</f>
        <v/>
      </c>
      <c r="I18" s="141">
        <f>H18</f>
        <v/>
      </c>
      <c r="J18" s="141">
        <f>I18</f>
        <v/>
      </c>
      <c r="K18" s="141">
        <f>J18</f>
        <v/>
      </c>
      <c r="L18" s="141">
        <f>K18</f>
        <v/>
      </c>
      <c r="M18" s="141">
        <f>L18</f>
        <v/>
      </c>
      <c r="N18" s="141">
        <f>M18</f>
        <v/>
      </c>
      <c r="O18" s="141">
        <f>N18</f>
        <v/>
      </c>
      <c r="P18" s="141">
        <f>O18</f>
        <v/>
      </c>
      <c r="Q18" s="141">
        <f>P18</f>
        <v/>
      </c>
      <c r="R18" s="61">
        <f>SUM(F18:Q18)</f>
        <v/>
      </c>
    </row>
    <row r="19">
      <c r="A19" s="7" t="inlineStr">
        <is>
          <t>Employee Pension Programs</t>
        </is>
      </c>
      <c r="B19" s="143" t="inlineStr">
        <is>
          <t>--</t>
        </is>
      </c>
      <c r="C19" s="142" t="n">
        <v>0</v>
      </c>
      <c r="D19" s="69" t="n"/>
      <c r="E19" s="70">
        <f>($E$8+$E$9+$E$10)*C19</f>
        <v/>
      </c>
      <c r="F19" s="141">
        <f>E19</f>
        <v/>
      </c>
      <c r="G19" s="141">
        <f>F19</f>
        <v/>
      </c>
      <c r="H19" s="141">
        <f>G19</f>
        <v/>
      </c>
      <c r="I19" s="141">
        <f>H19</f>
        <v/>
      </c>
      <c r="J19" s="141">
        <f>I19</f>
        <v/>
      </c>
      <c r="K19" s="141">
        <f>J19</f>
        <v/>
      </c>
      <c r="L19" s="141">
        <f>K19</f>
        <v/>
      </c>
      <c r="M19" s="141">
        <f>L19</f>
        <v/>
      </c>
      <c r="N19" s="141">
        <f>M19</f>
        <v/>
      </c>
      <c r="O19" s="141">
        <f>N19</f>
        <v/>
      </c>
      <c r="P19" s="141">
        <f>O19</f>
        <v/>
      </c>
      <c r="Q19" s="141">
        <f>P19</f>
        <v/>
      </c>
      <c r="R19" s="61">
        <f>SUM(F19:Q19)</f>
        <v/>
      </c>
    </row>
    <row r="20">
      <c r="A20" s="7" t="inlineStr">
        <is>
          <t>Worker's Compensation</t>
        </is>
      </c>
      <c r="B20" s="143" t="inlineStr">
        <is>
          <t>--</t>
        </is>
      </c>
      <c r="C20" s="142" t="n">
        <v>0</v>
      </c>
      <c r="D20" s="71" t="n"/>
      <c r="E20" s="70">
        <f>($E$8+$E$9+$E$10)*C20</f>
        <v/>
      </c>
      <c r="F20" s="141">
        <f>E20</f>
        <v/>
      </c>
      <c r="G20" s="141">
        <f>F20</f>
        <v/>
      </c>
      <c r="H20" s="141">
        <f>G20</f>
        <v/>
      </c>
      <c r="I20" s="141">
        <f>H20</f>
        <v/>
      </c>
      <c r="J20" s="141">
        <f>I20</f>
        <v/>
      </c>
      <c r="K20" s="141">
        <f>J20</f>
        <v/>
      </c>
      <c r="L20" s="141">
        <f>K20</f>
        <v/>
      </c>
      <c r="M20" s="141">
        <f>L20</f>
        <v/>
      </c>
      <c r="N20" s="141">
        <f>M20</f>
        <v/>
      </c>
      <c r="O20" s="141">
        <f>N20</f>
        <v/>
      </c>
      <c r="P20" s="141">
        <f>O20</f>
        <v/>
      </c>
      <c r="Q20" s="141">
        <f>P20</f>
        <v/>
      </c>
      <c r="R20" s="61">
        <f>SUM(F20:Q20)</f>
        <v/>
      </c>
    </row>
    <row r="21">
      <c r="A21" s="7" t="inlineStr">
        <is>
          <t>Employee Health Insurance</t>
        </is>
      </c>
      <c r="B21" s="143" t="inlineStr">
        <is>
          <t>--</t>
        </is>
      </c>
      <c r="C21" s="142" t="n">
        <v>0</v>
      </c>
      <c r="D21" s="71" t="n"/>
      <c r="E21" s="70">
        <f>($E$8+$E$9+$E$10)*C21</f>
        <v/>
      </c>
      <c r="F21" s="141">
        <f>E21</f>
        <v/>
      </c>
      <c r="G21" s="141">
        <f>F21</f>
        <v/>
      </c>
      <c r="H21" s="141">
        <f>G21</f>
        <v/>
      </c>
      <c r="I21" s="141">
        <f>H21</f>
        <v/>
      </c>
      <c r="J21" s="141">
        <f>I21</f>
        <v/>
      </c>
      <c r="K21" s="141">
        <f>J21</f>
        <v/>
      </c>
      <c r="L21" s="141">
        <f>K21</f>
        <v/>
      </c>
      <c r="M21" s="141">
        <f>L21</f>
        <v/>
      </c>
      <c r="N21" s="141">
        <f>M21</f>
        <v/>
      </c>
      <c r="O21" s="141">
        <f>N21</f>
        <v/>
      </c>
      <c r="P21" s="141">
        <f>O21</f>
        <v/>
      </c>
      <c r="Q21" s="141">
        <f>P21</f>
        <v/>
      </c>
      <c r="R21" s="61">
        <f>SUM(F21:Q21)</f>
        <v/>
      </c>
    </row>
    <row r="22">
      <c r="A22" s="7" t="inlineStr">
        <is>
          <t>Other Employee Benefit Programs</t>
        </is>
      </c>
      <c r="B22" s="143" t="inlineStr">
        <is>
          <t>--</t>
        </is>
      </c>
      <c r="C22" s="142" t="n">
        <v>0</v>
      </c>
      <c r="D22" s="71" t="n"/>
      <c r="E22" s="70">
        <f>($E$8+$E$9+$E$10)*C22</f>
        <v/>
      </c>
      <c r="F22" s="141">
        <f>E22</f>
        <v/>
      </c>
      <c r="G22" s="141">
        <f>F22</f>
        <v/>
      </c>
      <c r="H22" s="141">
        <f>G22</f>
        <v/>
      </c>
      <c r="I22" s="141">
        <f>H22</f>
        <v/>
      </c>
      <c r="J22" s="141">
        <f>I22</f>
        <v/>
      </c>
      <c r="K22" s="141">
        <f>J22</f>
        <v/>
      </c>
      <c r="L22" s="141">
        <f>K22</f>
        <v/>
      </c>
      <c r="M22" s="141">
        <f>L22</f>
        <v/>
      </c>
      <c r="N22" s="141">
        <f>M22</f>
        <v/>
      </c>
      <c r="O22" s="141">
        <f>N22</f>
        <v/>
      </c>
      <c r="P22" s="141">
        <f>O22</f>
        <v/>
      </c>
      <c r="Q22" s="141">
        <f>P22</f>
        <v/>
      </c>
      <c r="R22" s="61">
        <f>SUM(F22:Q22)</f>
        <v/>
      </c>
    </row>
    <row r="23">
      <c r="A23" s="26" t="inlineStr">
        <is>
          <t>Total Payroll Taxes and Benefits</t>
        </is>
      </c>
      <c r="B23" s="26" t="n"/>
      <c r="C23" s="72">
        <f>SUM(C15:C22)</f>
        <v/>
      </c>
      <c r="D23" s="7" t="n"/>
      <c r="E23" s="60">
        <f>SUM(E15:E22)</f>
        <v/>
      </c>
      <c r="F23" s="60">
        <f>SUM(F15:F22)</f>
        <v/>
      </c>
      <c r="G23" s="60">
        <f>SUM(G15:G22)</f>
        <v/>
      </c>
      <c r="H23" s="60">
        <f>SUM(H15:H22)</f>
        <v/>
      </c>
      <c r="I23" s="60">
        <f>SUM(I15:I22)</f>
        <v/>
      </c>
      <c r="J23" s="60">
        <f>SUM(J15:J22)</f>
        <v/>
      </c>
      <c r="K23" s="60">
        <f>SUM(K15:K22)</f>
        <v/>
      </c>
      <c r="L23" s="60">
        <f>SUM(L15:L22)</f>
        <v/>
      </c>
      <c r="M23" s="60">
        <f>SUM(M15:M22)</f>
        <v/>
      </c>
      <c r="N23" s="60">
        <f>SUM(N15:N22)</f>
        <v/>
      </c>
      <c r="O23" s="60">
        <f>SUM(O15:O22)</f>
        <v/>
      </c>
      <c r="P23" s="60">
        <f>SUM(P15:P22)</f>
        <v/>
      </c>
      <c r="Q23" s="60">
        <f>SUM(Q15:Q22)</f>
        <v/>
      </c>
      <c r="R23" s="60">
        <f>SUM(R15:R22)</f>
        <v/>
      </c>
    </row>
    <row r="24">
      <c r="A24" s="26" t="n"/>
      <c r="B24" s="26" t="n"/>
      <c r="C24" s="73" t="n"/>
      <c r="D24" s="7" t="n"/>
      <c r="E24" s="7" t="n"/>
      <c r="F24" s="7" t="n"/>
      <c r="G24" s="7" t="n"/>
      <c r="H24" s="7" t="n"/>
      <c r="I24" s="7" t="n"/>
      <c r="J24" s="7" t="n"/>
      <c r="K24" s="7" t="n"/>
      <c r="L24" s="7" t="n"/>
      <c r="M24" s="7" t="n"/>
      <c r="N24" s="7" t="n"/>
      <c r="O24" s="7" t="n"/>
      <c r="P24" s="7" t="n"/>
      <c r="Q24" s="7" t="n"/>
      <c r="R24" s="7" t="n"/>
    </row>
    <row r="25">
      <c r="A25" s="26" t="inlineStr">
        <is>
          <t>Total Salaries and Related Expenses</t>
        </is>
      </c>
      <c r="B25" s="26" t="n"/>
      <c r="C25" s="73" t="n"/>
      <c r="D25" s="7" t="n"/>
      <c r="E25" s="60">
        <f>E12+E23</f>
        <v/>
      </c>
      <c r="F25" s="60">
        <f>F12+F23</f>
        <v/>
      </c>
      <c r="G25" s="60">
        <f>G12+G23</f>
        <v/>
      </c>
      <c r="H25" s="60">
        <f>H12+H23</f>
        <v/>
      </c>
      <c r="I25" s="60">
        <f>I12+I23</f>
        <v/>
      </c>
      <c r="J25" s="60">
        <f>J12+J23</f>
        <v/>
      </c>
      <c r="K25" s="60">
        <f>K12+K23</f>
        <v/>
      </c>
      <c r="L25" s="60">
        <f>L12+L23</f>
        <v/>
      </c>
      <c r="M25" s="60">
        <f>M12+M23</f>
        <v/>
      </c>
      <c r="N25" s="60">
        <f>N12+N23</f>
        <v/>
      </c>
      <c r="O25" s="60">
        <f>O12+O23</f>
        <v/>
      </c>
      <c r="P25" s="60">
        <f>P12+P23</f>
        <v/>
      </c>
      <c r="Q25" s="60">
        <f>Q12+Q23</f>
        <v/>
      </c>
      <c r="R25" s="36">
        <f>R12+R23</f>
        <v/>
      </c>
    </row>
    <row r="29">
      <c r="A29" s="74" t="n"/>
      <c r="B29" s="74" t="n"/>
      <c r="C29" s="74" t="n"/>
    </row>
    <row r="30">
      <c r="A30" s="75" t="n"/>
      <c r="B30" s="76" t="n"/>
      <c r="C30" s="76" t="n"/>
    </row>
    <row r="31">
      <c r="A31" s="75" t="n"/>
      <c r="B31" s="77" t="n"/>
      <c r="C31" s="77" t="n"/>
    </row>
  </sheetData>
  <conditionalFormatting sqref="B8:D11">
    <cfRule type="containsBlanks" priority="15" dxfId="0" stopIfTrue="1">
      <formula>LEN(TRIM(B8))=0</formula>
    </cfRule>
  </conditionalFormatting>
  <conditionalFormatting sqref="F8:Q11">
    <cfRule type="containsBlanks" priority="12" dxfId="17" stopIfTrue="1">
      <formula>LEN(TRIM(F8))=0</formula>
    </cfRule>
  </conditionalFormatting>
  <conditionalFormatting sqref="F15:Q22">
    <cfRule type="containsBlanks" priority="5" dxfId="17">
      <formula>LEN(TRIM(F15))=0</formula>
    </cfRule>
  </conditionalFormatting>
  <conditionalFormatting sqref="F16:Q16">
    <cfRule type="containsBlanks" priority="4" dxfId="17">
      <formula>LEN(TRIM(F16))=0</formula>
    </cfRule>
  </conditionalFormatting>
  <conditionalFormatting sqref="F15:Q15">
    <cfRule type="containsBlanks" priority="3" dxfId="17">
      <formula>LEN(TRIM(F15))=0</formula>
    </cfRule>
  </conditionalFormatting>
  <conditionalFormatting sqref="F16">
    <cfRule type="containsBlanks" priority="2" dxfId="17">
      <formula>LEN(TRIM(F16))=0</formula>
    </cfRule>
  </conditionalFormatting>
  <conditionalFormatting sqref="G16:Q16">
    <cfRule type="containsBlanks" priority="1" dxfId="17">
      <formula>LEN(TRIM(G16))=0</formula>
    </cfRule>
  </conditionalFormatting>
  <printOptions horizontalCentered="1"/>
  <pageMargins left="0.25" right="0.25" top="0.75" bottom="0.75" header="0.3" footer="0.3"/>
  <pageSetup orientation="landscape" scale="61"/>
  <headerFooter scaleWithDoc="0">
    <oddHeader>&amp;C&amp;"Gill Sans MT,Regular"&amp;12 Payroll Year 1</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18">
    <tabColor rgb="FFFFC95B"/>
    <outlinePr summaryBelow="1" summaryRight="1"/>
    <pageSetUpPr fitToPage="1"/>
  </sheetPr>
  <dimension ref="A2:AC47"/>
  <sheetViews>
    <sheetView zoomScaleNormal="100" workbookViewId="0">
      <selection activeCell="D9" sqref="D9"/>
    </sheetView>
  </sheetViews>
  <sheetFormatPr baseColWidth="8" defaultColWidth="9.15625" defaultRowHeight="13.5"/>
  <cols>
    <col width="7" customWidth="1" style="78" min="1" max="1"/>
    <col width="38" bestFit="1" customWidth="1" style="78" min="2" max="2"/>
    <col width="11.26171875" bestFit="1" customWidth="1" style="78" min="3" max="3"/>
    <col width="15.68359375" bestFit="1" customWidth="1" style="78" min="4" max="4"/>
    <col width="10.68359375" bestFit="1" customWidth="1" style="78" min="5" max="5"/>
    <col width="15.68359375" bestFit="1" customWidth="1" style="78" min="6" max="6"/>
    <col width="9.41796875" bestFit="1" customWidth="1" style="78" min="7" max="7"/>
    <col width="5.15625" customWidth="1" style="78" min="8" max="8"/>
    <col width="5.41796875" customWidth="1" style="78" min="9" max="9"/>
    <col width="4.68359375" customWidth="1" style="78" min="10" max="10"/>
    <col width="8.15625" customWidth="1" style="78" min="11" max="11"/>
    <col width="12.15625" customWidth="1" style="78" min="12" max="12"/>
    <col width="9.578125" customWidth="1" style="78" min="13" max="13"/>
    <col width="11.83984375" customWidth="1" style="78" min="14" max="14"/>
    <col width="11.578125" customWidth="1" style="78" min="15" max="15"/>
    <col width="14.41796875" customWidth="1" style="78" min="16" max="16"/>
    <col width="8.68359375" customWidth="1" style="78" min="17" max="17"/>
    <col width="10.26171875" customWidth="1" style="78" min="18" max="18"/>
    <col width="7.41796875" customWidth="1" style="78" min="19" max="19"/>
    <col width="6.15625" customWidth="1" style="78" min="20" max="20"/>
    <col width="5.15625" customWidth="1" style="78" min="21" max="21"/>
    <col width="5.41796875" customWidth="1" style="78" min="22" max="22"/>
    <col width="4.68359375" customWidth="1" style="78" min="23" max="23"/>
    <col width="8.15625" customWidth="1" style="78" min="24" max="24"/>
    <col width="12.15625" customWidth="1" style="78" min="25" max="25"/>
    <col width="9.578125" customWidth="1" style="78" min="26" max="26"/>
    <col width="11.83984375" customWidth="1" style="78" min="27" max="27"/>
    <col width="11.578125" customWidth="1" style="78" min="28" max="28"/>
    <col width="14.41796875" customWidth="1" style="78" min="29" max="29"/>
    <col width="9.15625" customWidth="1" style="78" min="30" max="16384"/>
  </cols>
  <sheetData>
    <row r="2">
      <c r="B2" s="514" t="inlineStr">
        <is>
          <t>Payroll Years 1-3</t>
        </is>
      </c>
      <c r="C2" s="56" t="n"/>
      <c r="D2" s="57" t="n"/>
      <c r="E2" s="56" t="n"/>
      <c r="F2" s="57" t="n"/>
      <c r="G2" s="56" t="n"/>
    </row>
    <row r="3">
      <c r="B3" s="57" t="n"/>
      <c r="C3" s="56" t="n"/>
      <c r="D3" s="57" t="n"/>
    </row>
    <row r="4">
      <c r="A4" s="79" t="n"/>
      <c r="B4" s="501" t="inlineStr">
        <is>
          <t>Prepared By:</t>
        </is>
      </c>
      <c r="C4" s="501" t="inlineStr">
        <is>
          <t>Company Name:</t>
        </is>
      </c>
      <c r="E4" s="79" t="n"/>
      <c r="F4" s="79" t="n"/>
      <c r="G4" s="79" t="n"/>
      <c r="H4" s="79" t="n"/>
      <c r="I4" s="79" t="n"/>
      <c r="J4" s="79" t="n"/>
      <c r="K4" s="79" t="n"/>
      <c r="L4" s="79" t="n"/>
      <c r="M4" s="79" t="n"/>
      <c r="N4" s="79" t="n"/>
      <c r="O4" s="79" t="n"/>
      <c r="P4" s="79" t="n"/>
      <c r="Q4" s="79" t="n"/>
      <c r="R4" s="79" t="n"/>
      <c r="S4" s="79" t="n"/>
      <c r="T4" s="79" t="n"/>
      <c r="U4" s="79" t="n"/>
      <c r="V4" s="79" t="n"/>
      <c r="W4" s="79" t="n"/>
      <c r="X4" s="79" t="n"/>
      <c r="Y4" s="79" t="n"/>
    </row>
    <row r="5">
      <c r="A5" s="5" t="n"/>
      <c r="B5" s="5">
        <f>IF(ISBLANK(Directions!C10), "Owner", Directions!C10)</f>
        <v/>
      </c>
      <c r="C5" s="502">
        <f>IF(ISBLANK(Directions!D10), "Company 1", Directions!D10)</f>
        <v/>
      </c>
      <c r="E5" s="502" t="n"/>
      <c r="F5" s="512" t="n"/>
      <c r="G5" s="502" t="n"/>
      <c r="H5" s="80" t="n"/>
      <c r="I5" s="80" t="n"/>
      <c r="J5" s="80" t="n"/>
      <c r="K5" s="80" t="n"/>
      <c r="L5" s="80" t="n"/>
      <c r="M5" s="80" t="n"/>
      <c r="N5" s="80" t="n"/>
      <c r="O5" s="80" t="n"/>
      <c r="P5" s="81" t="n"/>
      <c r="Q5" s="80" t="n"/>
      <c r="R5" s="80" t="n"/>
      <c r="S5" s="80" t="n"/>
      <c r="T5" s="80" t="n"/>
      <c r="U5" s="80" t="n"/>
      <c r="V5" s="80" t="n"/>
      <c r="W5" s="80" t="n"/>
      <c r="X5" s="80" t="n"/>
      <c r="Y5" s="80" t="n"/>
      <c r="Z5" s="80" t="n"/>
      <c r="AA5" s="80" t="n"/>
      <c r="AB5" s="80" t="n"/>
      <c r="AC5" s="81" t="n"/>
    </row>
    <row r="6">
      <c r="A6" s="5" t="n"/>
      <c r="H6" s="80" t="n"/>
      <c r="I6" s="80" t="n"/>
      <c r="J6" s="80" t="n"/>
      <c r="K6" s="80" t="n"/>
      <c r="L6" s="80" t="n"/>
      <c r="M6" s="80" t="n"/>
      <c r="N6" s="80" t="n"/>
      <c r="O6" s="80" t="n"/>
      <c r="P6" s="81" t="n"/>
      <c r="Q6" s="80" t="n"/>
      <c r="R6" s="80" t="n"/>
      <c r="S6" s="80" t="n"/>
      <c r="T6" s="80" t="n"/>
      <c r="U6" s="80" t="n"/>
      <c r="V6" s="80" t="n"/>
      <c r="W6" s="80" t="n"/>
      <c r="X6" s="80" t="n"/>
      <c r="Y6" s="80" t="n"/>
      <c r="Z6" s="80" t="n"/>
      <c r="AA6" s="80" t="n"/>
      <c r="AB6" s="80" t="n"/>
      <c r="AC6" s="81" t="n"/>
    </row>
    <row r="7">
      <c r="A7" s="5" t="n"/>
      <c r="H7" s="80" t="n"/>
      <c r="I7" s="80" t="n"/>
      <c r="J7" s="80" t="n"/>
      <c r="K7" s="80" t="n"/>
      <c r="L7" s="80" t="n"/>
      <c r="M7" s="80" t="n"/>
      <c r="N7" s="80" t="n"/>
      <c r="O7" s="80" t="n"/>
      <c r="P7" s="81" t="n"/>
      <c r="Q7" s="80" t="n"/>
      <c r="R7" s="80" t="n"/>
      <c r="S7" s="80" t="n"/>
      <c r="T7" s="80" t="n"/>
      <c r="U7" s="80" t="n"/>
      <c r="V7" s="80" t="n"/>
      <c r="W7" s="80" t="n"/>
      <c r="X7" s="80" t="n"/>
      <c r="Y7" s="80" t="n"/>
      <c r="Z7" s="80" t="n"/>
      <c r="AA7" s="80" t="n"/>
      <c r="AB7" s="80" t="n"/>
      <c r="AC7" s="81" t="n"/>
    </row>
    <row r="8" ht="19.9" customHeight="1" thickBot="1">
      <c r="A8" s="5" t="n"/>
      <c r="B8" s="506" t="inlineStr">
        <is>
          <t>Employee Types</t>
        </is>
      </c>
      <c r="C8" s="506" t="inlineStr">
        <is>
          <t>Year 1 Totals</t>
        </is>
      </c>
      <c r="D8" s="506" t="inlineStr">
        <is>
          <t>Growth Rate 1 to 2</t>
        </is>
      </c>
      <c r="E8" s="506">
        <f>IF(Directions!G7&gt;0,Directions!G7+1,"Second Year")</f>
        <v/>
      </c>
      <c r="F8" s="506" t="inlineStr">
        <is>
          <t>Growth Rate 2 to 3</t>
        </is>
      </c>
      <c r="G8" s="506">
        <f>IF(Directions!G7&gt;0,Directions!G7+2,"Third Year")</f>
        <v/>
      </c>
      <c r="H8" s="80" t="n"/>
      <c r="I8" s="80" t="n"/>
      <c r="J8" s="80" t="n"/>
      <c r="K8" s="80" t="n"/>
      <c r="L8" s="80" t="n"/>
      <c r="M8" s="80" t="n"/>
      <c r="N8" s="80" t="n"/>
      <c r="O8" s="80" t="n"/>
      <c r="P8" s="81" t="n"/>
      <c r="Q8" s="80" t="n"/>
      <c r="R8" s="80" t="n"/>
      <c r="S8" s="80" t="n"/>
      <c r="T8" s="80" t="n"/>
      <c r="U8" s="80" t="n"/>
      <c r="V8" s="80" t="n"/>
      <c r="W8" s="80" t="n"/>
      <c r="X8" s="80" t="n"/>
      <c r="Y8" s="80" t="n"/>
      <c r="Z8" s="80" t="n"/>
      <c r="AA8" s="80" t="n"/>
      <c r="AB8" s="80" t="n"/>
      <c r="AC8" s="81" t="n"/>
    </row>
    <row r="9" ht="13.8" customHeight="1" thickTop="1">
      <c r="A9" s="82" t="n"/>
      <c r="B9" s="322" t="inlineStr">
        <is>
          <t>Owner(s)</t>
        </is>
      </c>
      <c r="C9" s="390">
        <f>'2a-PayrollYear1'!R8</f>
        <v/>
      </c>
      <c r="D9" s="330" t="n">
        <v>0.2</v>
      </c>
      <c r="E9" s="358">
        <f>C9*D9+C9</f>
        <v/>
      </c>
      <c r="F9" s="330" t="n">
        <v>0.3</v>
      </c>
      <c r="G9" s="358">
        <f>E9*F9+E9</f>
        <v/>
      </c>
      <c r="H9" s="81" t="n"/>
      <c r="I9" s="81" t="n"/>
      <c r="J9" s="81" t="n"/>
      <c r="K9" s="81" t="n"/>
      <c r="L9" s="81" t="n"/>
      <c r="M9" s="81" t="n"/>
      <c r="N9" s="81" t="n"/>
      <c r="O9" s="81" t="n"/>
      <c r="P9" s="81" t="n"/>
      <c r="Q9" s="81" t="n"/>
      <c r="R9" s="81" t="n"/>
      <c r="S9" s="81" t="n"/>
      <c r="T9" s="81" t="n"/>
      <c r="U9" s="81" t="n"/>
      <c r="V9" s="81" t="n"/>
      <c r="W9" s="81" t="n"/>
      <c r="X9" s="81" t="n"/>
      <c r="Y9" s="81" t="n"/>
      <c r="Z9" s="81" t="n"/>
      <c r="AA9" s="81" t="n"/>
      <c r="AB9" s="81" t="n"/>
      <c r="AC9" s="81" t="n"/>
    </row>
    <row r="10">
      <c r="A10" s="9" t="n"/>
      <c r="B10" s="7" t="inlineStr">
        <is>
          <t>Full-Time Employees</t>
        </is>
      </c>
      <c r="C10" s="288">
        <f>'2a-PayrollYear1'!R9</f>
        <v/>
      </c>
      <c r="D10" s="140" t="n">
        <v>0.2</v>
      </c>
      <c r="E10" s="186">
        <f>C10*D10+C10</f>
        <v/>
      </c>
      <c r="F10" s="140" t="n">
        <v>0.3</v>
      </c>
      <c r="G10" s="186">
        <f>E10*F10+E10</f>
        <v/>
      </c>
      <c r="H10" s="46" t="n"/>
      <c r="I10" s="46" t="n"/>
      <c r="J10" s="46" t="n"/>
      <c r="K10" s="46" t="n"/>
      <c r="L10" s="46" t="n"/>
      <c r="M10" s="46" t="n"/>
      <c r="N10" s="46" t="n"/>
      <c r="O10" s="46" t="n"/>
      <c r="P10" s="549" t="n"/>
      <c r="Q10" s="5" t="n"/>
      <c r="R10" s="5" t="n"/>
      <c r="S10" s="5" t="n"/>
      <c r="T10" s="46" t="n"/>
      <c r="U10" s="46" t="n"/>
      <c r="V10" s="46" t="n"/>
      <c r="W10" s="46" t="n"/>
      <c r="X10" s="46" t="n"/>
      <c r="Y10" s="46" t="n"/>
      <c r="Z10" s="46" t="n"/>
      <c r="AA10" s="46" t="n"/>
      <c r="AB10" s="46" t="n"/>
      <c r="AC10" s="549" t="n"/>
    </row>
    <row r="11">
      <c r="A11" s="79" t="n"/>
      <c r="B11" s="7" t="inlineStr">
        <is>
          <t>Part-Time Employees</t>
        </is>
      </c>
      <c r="C11" s="288">
        <f>'2a-PayrollYear1'!R10</f>
        <v/>
      </c>
      <c r="D11" s="140" t="n">
        <v>0.1</v>
      </c>
      <c r="E11" s="186">
        <f>C11*D11+C11</f>
        <v/>
      </c>
      <c r="F11" s="140" t="n">
        <v>0.3</v>
      </c>
      <c r="G11" s="186">
        <f>E11*F11+E11</f>
        <v/>
      </c>
      <c r="H11" s="79" t="n"/>
      <c r="I11" s="79" t="n"/>
      <c r="J11" s="79" t="n"/>
      <c r="K11" s="79" t="n"/>
      <c r="L11" s="79" t="n"/>
      <c r="M11" s="79" t="n"/>
      <c r="N11" s="79" t="n"/>
      <c r="O11" s="79" t="n"/>
      <c r="P11" s="79" t="n"/>
      <c r="Q11" s="79" t="n"/>
      <c r="R11" s="79" t="n"/>
      <c r="S11" s="79" t="n"/>
      <c r="T11" s="79" t="n"/>
      <c r="U11" s="79" t="n"/>
      <c r="V11" s="79" t="n"/>
      <c r="W11" s="79" t="n"/>
      <c r="X11" s="79" t="n"/>
      <c r="Y11" s="79" t="n"/>
      <c r="Z11" s="79" t="n"/>
      <c r="AA11" s="79" t="n"/>
      <c r="AB11" s="79" t="n"/>
      <c r="AC11" s="79" t="n"/>
    </row>
    <row r="12">
      <c r="A12" s="5" t="n"/>
      <c r="B12" s="7" t="inlineStr">
        <is>
          <t>Independent Contractors</t>
        </is>
      </c>
      <c r="C12" s="288">
        <f>'2a-PayrollYear1'!R11</f>
        <v/>
      </c>
      <c r="D12" s="140" t="n">
        <v>0.03</v>
      </c>
      <c r="E12" s="186">
        <f>C12*D12+C12</f>
        <v/>
      </c>
      <c r="F12" s="140" t="n">
        <v>0.03</v>
      </c>
      <c r="G12" s="186">
        <f>E12*F12+E12</f>
        <v/>
      </c>
      <c r="H12" s="80" t="n"/>
      <c r="I12" s="80" t="n"/>
      <c r="J12" s="80" t="n"/>
      <c r="K12" s="80" t="n"/>
      <c r="L12" s="80" t="n"/>
      <c r="M12" s="80" t="n"/>
      <c r="N12" s="80" t="n"/>
      <c r="O12" s="80" t="n"/>
      <c r="P12" s="81" t="n"/>
      <c r="Q12" s="80" t="n"/>
      <c r="R12" s="80" t="n"/>
      <c r="S12" s="80" t="n"/>
      <c r="T12" s="80" t="n"/>
      <c r="U12" s="80" t="n"/>
      <c r="V12" s="80" t="n"/>
      <c r="W12" s="80" t="n"/>
      <c r="X12" s="80" t="n"/>
      <c r="Y12" s="80" t="n"/>
      <c r="Z12" s="80" t="n"/>
      <c r="AA12" s="80" t="n"/>
      <c r="AB12" s="80" t="n"/>
      <c r="AC12" s="81" t="n"/>
    </row>
    <row r="13">
      <c r="A13" s="5" t="n"/>
      <c r="B13" s="26" t="inlineStr">
        <is>
          <t>Total Salaries and Wages</t>
        </is>
      </c>
      <c r="C13" s="61">
        <f>SUM(C9:C12)</f>
        <v/>
      </c>
      <c r="D13" s="85" t="n"/>
      <c r="E13" s="86">
        <f>SUM(E9:E12)</f>
        <v/>
      </c>
      <c r="F13" s="85" t="n"/>
      <c r="G13" s="86">
        <f>SUM(G9:G12)</f>
        <v/>
      </c>
      <c r="H13" s="80" t="n"/>
      <c r="I13" s="80" t="n"/>
      <c r="J13" s="80" t="n"/>
      <c r="K13" s="80" t="n"/>
      <c r="L13" s="80" t="n"/>
      <c r="M13" s="80" t="n"/>
      <c r="N13" s="80" t="n"/>
      <c r="O13" s="80" t="n"/>
      <c r="P13" s="81" t="n"/>
      <c r="Q13" s="80" t="n"/>
      <c r="R13" s="80" t="n"/>
      <c r="S13" s="80" t="n"/>
      <c r="T13" s="80" t="n"/>
      <c r="U13" s="80" t="n"/>
      <c r="V13" s="80" t="n"/>
      <c r="W13" s="80" t="n"/>
      <c r="X13" s="80" t="n"/>
      <c r="Y13" s="80" t="n"/>
      <c r="Z13" s="80" t="n"/>
      <c r="AA13" s="80" t="n"/>
      <c r="AB13" s="80" t="n"/>
      <c r="AC13" s="81" t="n"/>
    </row>
    <row r="14">
      <c r="A14" s="5" t="n"/>
      <c r="B14" s="26" t="n"/>
      <c r="C14" s="550" t="n"/>
      <c r="D14" s="85" t="n"/>
      <c r="E14" s="186" t="n"/>
      <c r="F14" s="85" t="n"/>
      <c r="G14" s="186" t="n"/>
      <c r="H14" s="80" t="n"/>
      <c r="I14" s="80" t="n"/>
      <c r="J14" s="80" t="n"/>
      <c r="K14" s="80" t="n"/>
      <c r="L14" s="80" t="n"/>
      <c r="M14" s="80" t="n"/>
      <c r="N14" s="80" t="n"/>
      <c r="O14" s="80" t="n"/>
      <c r="P14" s="81" t="n"/>
      <c r="Q14" s="80" t="n"/>
      <c r="R14" s="80" t="n"/>
      <c r="S14" s="80" t="n"/>
      <c r="T14" s="80" t="n"/>
      <c r="U14" s="80" t="n"/>
      <c r="V14" s="80" t="n"/>
      <c r="W14" s="80" t="n"/>
      <c r="X14" s="80" t="n"/>
      <c r="Y14" s="80" t="n"/>
      <c r="Z14" s="80" t="n"/>
      <c r="AA14" s="80" t="n"/>
      <c r="AB14" s="80" t="n"/>
      <c r="AC14" s="81" t="n"/>
    </row>
    <row r="15" ht="13.8" customHeight="1" thickBot="1">
      <c r="A15" s="5" t="n"/>
      <c r="B15" s="506" t="inlineStr">
        <is>
          <t>Payroll Taxes and Benefits</t>
        </is>
      </c>
      <c r="C15" s="506" t="n"/>
      <c r="D15" s="346" t="n"/>
      <c r="E15" s="506" t="n"/>
      <c r="F15" s="346" t="n"/>
      <c r="G15" s="506" t="n"/>
      <c r="H15" s="80" t="n"/>
      <c r="I15" s="80" t="n"/>
      <c r="J15" s="80" t="n"/>
      <c r="K15" s="80" t="n"/>
      <c r="L15" s="80" t="n"/>
      <c r="M15" s="80" t="n"/>
      <c r="N15" s="80" t="n"/>
      <c r="O15" s="80" t="n"/>
      <c r="P15" s="81" t="n"/>
      <c r="Q15" s="80" t="n"/>
      <c r="R15" s="80" t="n"/>
      <c r="S15" s="80" t="n"/>
      <c r="T15" s="80" t="n"/>
      <c r="U15" s="80" t="n"/>
      <c r="V15" s="80" t="n"/>
      <c r="W15" s="80" t="n"/>
      <c r="X15" s="80" t="n"/>
      <c r="Y15" s="80" t="n"/>
      <c r="Z15" s="80" t="n"/>
      <c r="AA15" s="80" t="n"/>
      <c r="AB15" s="80" t="n"/>
      <c r="AC15" s="81" t="n"/>
    </row>
    <row r="16" ht="13.8" customHeight="1" thickTop="1">
      <c r="A16" s="5" t="n"/>
      <c r="B16" s="322" t="inlineStr">
        <is>
          <t>Social Security</t>
        </is>
      </c>
      <c r="C16" s="390">
        <f>'2a-PayrollYear1'!R15</f>
        <v/>
      </c>
      <c r="D16" s="330" t="n">
        <v>0.2</v>
      </c>
      <c r="E16" s="358">
        <f>C16*D16+C16</f>
        <v/>
      </c>
      <c r="F16" s="330" t="n">
        <v>0.3</v>
      </c>
      <c r="G16" s="358">
        <f>E16*F16+E16</f>
        <v/>
      </c>
      <c r="H16" s="80" t="n"/>
      <c r="I16" s="80" t="n"/>
      <c r="J16" s="80" t="n"/>
      <c r="K16" s="80" t="n"/>
      <c r="L16" s="80" t="n"/>
      <c r="M16" s="80" t="n"/>
      <c r="N16" s="80" t="n"/>
      <c r="O16" s="80" t="n"/>
      <c r="P16" s="81" t="n"/>
      <c r="Q16" s="80" t="n"/>
      <c r="R16" s="80" t="n"/>
      <c r="S16" s="80" t="n"/>
      <c r="T16" s="80" t="n"/>
      <c r="U16" s="80" t="n"/>
      <c r="V16" s="80" t="n"/>
      <c r="W16" s="80" t="n"/>
      <c r="X16" s="80" t="n"/>
      <c r="Y16" s="80" t="n"/>
      <c r="Z16" s="80" t="n"/>
      <c r="AA16" s="80" t="n"/>
      <c r="AB16" s="80" t="n"/>
      <c r="AC16" s="81" t="n"/>
    </row>
    <row r="17">
      <c r="A17" s="5" t="n"/>
      <c r="B17" s="7" t="inlineStr">
        <is>
          <t>Medicare</t>
        </is>
      </c>
      <c r="C17" s="288">
        <f>'2a-PayrollYear1'!R16</f>
        <v/>
      </c>
      <c r="D17" s="140" t="n">
        <v>0.2</v>
      </c>
      <c r="E17" s="186">
        <f>C17*D17+C17</f>
        <v/>
      </c>
      <c r="F17" s="140" t="n">
        <v>0.3</v>
      </c>
      <c r="G17" s="186">
        <f>E17*F17+E17</f>
        <v/>
      </c>
      <c r="H17" s="80" t="n"/>
      <c r="I17" s="80" t="n"/>
      <c r="J17" s="80" t="n"/>
      <c r="K17" s="80" t="n"/>
      <c r="L17" s="80" t="n"/>
      <c r="M17" s="80" t="n"/>
      <c r="N17" s="80" t="n"/>
      <c r="O17" s="80" t="n"/>
      <c r="P17" s="81" t="n"/>
      <c r="Q17" s="80" t="n"/>
      <c r="R17" s="80" t="n"/>
      <c r="S17" s="80" t="n"/>
      <c r="T17" s="80" t="n"/>
      <c r="U17" s="80" t="n"/>
      <c r="V17" s="80" t="n"/>
      <c r="W17" s="80" t="n"/>
      <c r="X17" s="80" t="n"/>
      <c r="Y17" s="80" t="n"/>
      <c r="Z17" s="80" t="n"/>
      <c r="AA17" s="80" t="n"/>
      <c r="AB17" s="80" t="n"/>
      <c r="AC17" s="81" t="n"/>
    </row>
    <row r="18">
      <c r="A18" s="5" t="n"/>
      <c r="B18" s="7" t="inlineStr">
        <is>
          <t>Federal Unemployment Tax (FUTA)</t>
        </is>
      </c>
      <c r="C18" s="288">
        <f>'2a-PayrollYear1'!R17</f>
        <v/>
      </c>
      <c r="D18" s="140" t="n">
        <v>0.2</v>
      </c>
      <c r="E18" s="186">
        <f>C18*D18+C18</f>
        <v/>
      </c>
      <c r="F18" s="140" t="n">
        <v>0.3</v>
      </c>
      <c r="G18" s="186">
        <f>E18*F18+E18</f>
        <v/>
      </c>
      <c r="H18" s="80" t="n"/>
      <c r="I18" s="80" t="n"/>
      <c r="J18" s="80" t="n"/>
      <c r="K18" s="80" t="n"/>
      <c r="L18" s="80" t="n"/>
      <c r="M18" s="80" t="n"/>
      <c r="N18" s="80" t="n"/>
      <c r="O18" s="80" t="n"/>
      <c r="P18" s="81" t="n"/>
      <c r="Q18" s="80" t="n"/>
      <c r="R18" s="80" t="n"/>
      <c r="S18" s="80" t="n"/>
      <c r="T18" s="80" t="n"/>
      <c r="U18" s="80" t="n"/>
      <c r="V18" s="80" t="n"/>
      <c r="W18" s="80" t="n"/>
      <c r="X18" s="80" t="n"/>
      <c r="Y18" s="80" t="n"/>
      <c r="Z18" s="80" t="n"/>
      <c r="AA18" s="80" t="n"/>
      <c r="AB18" s="80" t="n"/>
      <c r="AC18" s="81" t="n"/>
    </row>
    <row r="19">
      <c r="A19" s="5" t="n"/>
      <c r="B19" s="7" t="inlineStr">
        <is>
          <t>State Unemployment Tax (SUTA)</t>
        </is>
      </c>
      <c r="C19" s="288">
        <f>'2a-PayrollYear1'!R18</f>
        <v/>
      </c>
      <c r="D19" s="140" t="n">
        <v>0.2</v>
      </c>
      <c r="E19" s="186">
        <f>C19*D19+C19</f>
        <v/>
      </c>
      <c r="F19" s="140" t="n">
        <v>0.3</v>
      </c>
      <c r="G19" s="186">
        <f>E19*F19+E19</f>
        <v/>
      </c>
      <c r="H19" s="80" t="n"/>
      <c r="I19" s="80" t="n"/>
      <c r="J19" s="80" t="n"/>
      <c r="K19" s="80" t="n"/>
      <c r="L19" s="80" t="n"/>
      <c r="M19" s="80" t="n"/>
      <c r="N19" s="80" t="n"/>
      <c r="O19" s="80" t="n"/>
      <c r="P19" s="81" t="n"/>
      <c r="Q19" s="80" t="n"/>
      <c r="R19" s="80" t="n"/>
      <c r="S19" s="80" t="n"/>
      <c r="T19" s="80" t="n"/>
      <c r="U19" s="80" t="n"/>
      <c r="V19" s="80" t="n"/>
      <c r="W19" s="80" t="n"/>
      <c r="X19" s="80" t="n"/>
      <c r="Y19" s="80" t="n"/>
      <c r="Z19" s="80" t="n"/>
      <c r="AA19" s="80" t="n"/>
      <c r="AB19" s="80" t="n"/>
      <c r="AC19" s="81" t="n"/>
    </row>
    <row r="20">
      <c r="A20" s="82" t="n"/>
      <c r="B20" s="7" t="inlineStr">
        <is>
          <t>Employee Pension Programs</t>
        </is>
      </c>
      <c r="C20" s="288">
        <f>'2a-PayrollYear1'!R19</f>
        <v/>
      </c>
      <c r="D20" s="140" t="n">
        <v>0</v>
      </c>
      <c r="E20" s="186">
        <f>C20*D20+C20</f>
        <v/>
      </c>
      <c r="F20" s="140" t="n">
        <v>0</v>
      </c>
      <c r="G20" s="186">
        <f>E20*F20+E20</f>
        <v/>
      </c>
      <c r="H20" s="551" t="n"/>
      <c r="I20" s="551" t="n"/>
      <c r="J20" s="551" t="n"/>
      <c r="K20" s="551" t="n"/>
      <c r="L20" s="551" t="n"/>
      <c r="M20" s="551" t="n"/>
      <c r="N20" s="551" t="n"/>
      <c r="O20" s="551" t="n"/>
      <c r="P20" s="89" t="n"/>
      <c r="Q20" s="551" t="n"/>
      <c r="R20" s="551" t="n"/>
      <c r="S20" s="551" t="n"/>
      <c r="T20" s="551" t="n"/>
      <c r="U20" s="551" t="n"/>
      <c r="V20" s="551" t="n"/>
      <c r="W20" s="551" t="n"/>
      <c r="X20" s="551" t="n"/>
      <c r="Y20" s="551" t="n"/>
      <c r="Z20" s="551" t="n"/>
      <c r="AA20" s="551" t="n"/>
      <c r="AB20" s="551" t="n"/>
      <c r="AC20" s="89" t="n"/>
    </row>
    <row r="21">
      <c r="A21" s="9" t="n"/>
      <c r="B21" s="7" t="inlineStr">
        <is>
          <t>Worker's Compensation</t>
        </is>
      </c>
      <c r="C21" s="288">
        <f>'2a-PayrollYear1'!R20</f>
        <v/>
      </c>
      <c r="D21" s="140" t="n">
        <v>0.03</v>
      </c>
      <c r="E21" s="186">
        <f>C21*D21+C21</f>
        <v/>
      </c>
      <c r="F21" s="140" t="n">
        <v>0.03</v>
      </c>
      <c r="G21" s="186">
        <f>E21*F21+E21</f>
        <v/>
      </c>
      <c r="H21" s="46" t="n"/>
      <c r="I21" s="46" t="n"/>
      <c r="J21" s="46" t="n"/>
      <c r="K21" s="46" t="n"/>
      <c r="L21" s="46" t="n"/>
      <c r="M21" s="46" t="n"/>
      <c r="N21" s="46" t="n"/>
      <c r="O21" s="46" t="n"/>
      <c r="P21" s="46" t="n"/>
      <c r="Q21" s="5" t="n"/>
      <c r="R21" s="5" t="n"/>
      <c r="S21" s="5" t="n"/>
      <c r="T21" s="46" t="n"/>
      <c r="U21" s="46" t="n"/>
      <c r="V21" s="46" t="n"/>
      <c r="W21" s="46" t="n"/>
      <c r="X21" s="46" t="n"/>
      <c r="Y21" s="46" t="n"/>
      <c r="Z21" s="46" t="n"/>
      <c r="AA21" s="46" t="n"/>
      <c r="AB21" s="46" t="n"/>
      <c r="AC21" s="46" t="n"/>
    </row>
    <row r="22">
      <c r="A22" s="82" t="n"/>
      <c r="B22" s="7" t="inlineStr">
        <is>
          <t>Employee Health Insurance</t>
        </is>
      </c>
      <c r="C22" s="288">
        <f>'2a-PayrollYear1'!R21</f>
        <v/>
      </c>
      <c r="D22" s="140" t="n">
        <v>0.03</v>
      </c>
      <c r="E22" s="186">
        <f>C22*D22+C22</f>
        <v/>
      </c>
      <c r="F22" s="140" t="n">
        <v>0.03</v>
      </c>
      <c r="G22" s="186">
        <f>E22*F22+E22</f>
        <v/>
      </c>
      <c r="H22" s="552" t="n"/>
      <c r="I22" s="552" t="n"/>
      <c r="J22" s="552" t="n"/>
      <c r="K22" s="552" t="n"/>
      <c r="L22" s="552" t="n"/>
      <c r="M22" s="552" t="n"/>
      <c r="N22" s="552" t="n"/>
      <c r="O22" s="552" t="n"/>
      <c r="P22" s="553" t="n"/>
      <c r="Q22" s="552" t="n"/>
      <c r="R22" s="552" t="n"/>
      <c r="S22" s="552" t="n"/>
      <c r="T22" s="552" t="n"/>
      <c r="U22" s="552" t="n"/>
      <c r="V22" s="552" t="n"/>
      <c r="W22" s="552" t="n"/>
      <c r="X22" s="552" t="n"/>
      <c r="Y22" s="552" t="n"/>
      <c r="Z22" s="552" t="n"/>
      <c r="AA22" s="552" t="n"/>
      <c r="AB22" s="552" t="n"/>
      <c r="AC22" s="553" t="n"/>
    </row>
    <row r="23">
      <c r="B23" s="7" t="inlineStr">
        <is>
          <t>Other Employee Benefit Programs</t>
        </is>
      </c>
      <c r="C23" s="288">
        <f>'2a-PayrollYear1'!R22</f>
        <v/>
      </c>
      <c r="D23" s="140" t="n">
        <v>0.1</v>
      </c>
      <c r="E23" s="186">
        <f>C23*D23+C23</f>
        <v/>
      </c>
      <c r="F23" s="140" t="n">
        <v>0.1</v>
      </c>
      <c r="G23" s="186">
        <f>E23*F23+E23</f>
        <v/>
      </c>
    </row>
    <row r="24">
      <c r="B24" s="26" t="inlineStr">
        <is>
          <t>Total Payroll Taxes and Benefits</t>
        </is>
      </c>
      <c r="C24" s="60">
        <f>SUM(C16:C23)</f>
        <v/>
      </c>
      <c r="D24" s="85" t="n"/>
      <c r="E24" s="86">
        <f>SUM(E16:E23)</f>
        <v/>
      </c>
      <c r="F24" s="85" t="n"/>
      <c r="G24" s="86">
        <f>SUM(G16:G23)</f>
        <v/>
      </c>
    </row>
    <row r="25">
      <c r="A25" s="79" t="n"/>
      <c r="B25" s="26" t="n"/>
      <c r="C25" s="7" t="n"/>
      <c r="D25" s="85" t="n"/>
      <c r="E25" s="186" t="n"/>
      <c r="F25" s="85" t="n"/>
      <c r="G25" s="186" t="n"/>
      <c r="H25" s="79" t="n"/>
      <c r="I25" s="79" t="n"/>
      <c r="J25" s="79" t="n"/>
      <c r="K25" s="79" t="n"/>
      <c r="L25" s="79" t="n"/>
      <c r="M25" s="79" t="n"/>
      <c r="N25" s="79" t="n"/>
      <c r="O25" s="79" t="n"/>
      <c r="P25" s="79" t="n"/>
    </row>
    <row r="26">
      <c r="A26" s="5" t="n"/>
      <c r="B26" s="26" t="inlineStr">
        <is>
          <t>Total Salaries and Related Expenses</t>
        </is>
      </c>
      <c r="C26" s="36">
        <f>SUM(C13+C24)</f>
        <v/>
      </c>
      <c r="D26" s="85" t="n"/>
      <c r="E26" s="191">
        <f>SUM(E13+E24)</f>
        <v/>
      </c>
      <c r="F26" s="85" t="n"/>
      <c r="G26" s="191">
        <f>SUM(G13+G24)</f>
        <v/>
      </c>
      <c r="H26" s="80" t="n"/>
      <c r="I26" s="80" t="n"/>
      <c r="J26" s="80" t="n"/>
      <c r="K26" s="80" t="n"/>
      <c r="L26" s="80" t="n"/>
      <c r="M26" s="80" t="n"/>
      <c r="N26" s="80" t="n"/>
      <c r="O26" s="80" t="n"/>
      <c r="P26" s="81" t="n"/>
    </row>
    <row r="27">
      <c r="A27" s="5" t="n"/>
      <c r="D27" s="93" t="n"/>
      <c r="E27" s="94" t="n"/>
      <c r="F27" s="93" t="n"/>
      <c r="G27" s="94" t="n"/>
      <c r="H27" s="80" t="n"/>
      <c r="I27" s="80" t="n"/>
      <c r="J27" s="80" t="n"/>
      <c r="K27" s="80" t="n"/>
      <c r="L27" s="80" t="n"/>
      <c r="M27" s="80" t="n"/>
      <c r="N27" s="80" t="n"/>
      <c r="O27" s="80" t="n"/>
      <c r="P27" s="81" t="n"/>
    </row>
    <row r="28">
      <c r="A28" s="5" t="n"/>
      <c r="D28" s="93" t="n"/>
      <c r="E28" s="94" t="n"/>
      <c r="F28" s="93" t="n"/>
      <c r="G28" s="94" t="n"/>
      <c r="H28" s="80" t="n"/>
      <c r="I28" s="80" t="n"/>
      <c r="J28" s="80" t="n"/>
      <c r="K28" s="80" t="n"/>
      <c r="L28" s="80" t="n"/>
      <c r="M28" s="80" t="n"/>
      <c r="N28" s="80" t="n"/>
      <c r="O28" s="80" t="n"/>
      <c r="P28" s="81" t="n"/>
    </row>
    <row r="29">
      <c r="A29" s="5" t="n"/>
      <c r="B29" s="95" t="n"/>
      <c r="C29" s="95" t="n"/>
      <c r="D29" s="93" t="n"/>
      <c r="E29" s="94" t="n"/>
      <c r="F29" s="93" t="n"/>
      <c r="G29" s="94" t="n"/>
      <c r="H29" s="80" t="n"/>
      <c r="I29" s="80" t="n"/>
      <c r="J29" s="80" t="n"/>
      <c r="K29" s="80" t="n"/>
      <c r="L29" s="80" t="n"/>
      <c r="M29" s="80" t="n"/>
      <c r="N29" s="80" t="n"/>
      <c r="O29" s="80" t="n"/>
      <c r="P29" s="81" t="n"/>
    </row>
    <row r="30">
      <c r="A30" s="82" t="n"/>
      <c r="B30" s="554" t="n"/>
      <c r="C30" s="80" t="n"/>
      <c r="D30" s="93" t="n"/>
      <c r="E30" s="94" t="n"/>
      <c r="F30" s="93" t="n"/>
      <c r="G30" s="94" t="n"/>
      <c r="H30" s="81" t="n"/>
      <c r="I30" s="81" t="n"/>
      <c r="J30" s="81" t="n"/>
      <c r="K30" s="81" t="n"/>
      <c r="L30" s="81" t="n"/>
      <c r="M30" s="81" t="n"/>
      <c r="N30" s="81" t="n"/>
      <c r="O30" s="81" t="n"/>
      <c r="P30" s="81" t="n"/>
    </row>
    <row r="31">
      <c r="A31" s="9" t="n"/>
      <c r="B31" s="554" t="n"/>
      <c r="C31" s="80" t="n"/>
      <c r="D31" s="93" t="n"/>
      <c r="E31" s="94" t="n"/>
      <c r="F31" s="93" t="n"/>
      <c r="G31" s="94" t="n"/>
      <c r="H31" s="46" t="n"/>
      <c r="I31" s="46" t="n"/>
      <c r="J31" s="46" t="n"/>
      <c r="K31" s="46" t="n"/>
      <c r="L31" s="46" t="n"/>
      <c r="M31" s="46" t="n"/>
      <c r="N31" s="46" t="n"/>
      <c r="O31" s="46" t="n"/>
      <c r="P31" s="549" t="n"/>
    </row>
    <row r="32">
      <c r="A32" s="79" t="n"/>
      <c r="B32" s="554" t="n"/>
      <c r="C32" s="80" t="n"/>
      <c r="D32" s="93" t="n"/>
      <c r="E32" s="94" t="n"/>
      <c r="F32" s="93" t="n"/>
      <c r="G32" s="94" t="n"/>
      <c r="H32" s="79" t="n"/>
      <c r="I32" s="79" t="n"/>
      <c r="J32" s="79" t="n"/>
      <c r="K32" s="79" t="n"/>
      <c r="L32" s="79" t="n"/>
      <c r="M32" s="79" t="n"/>
      <c r="N32" s="79" t="n"/>
      <c r="O32" s="79" t="n"/>
      <c r="P32" s="79" t="n"/>
    </row>
    <row r="33">
      <c r="A33" s="5" t="n"/>
      <c r="B33" s="554" t="n"/>
      <c r="C33" s="80" t="n"/>
      <c r="D33" s="93" t="n"/>
      <c r="E33" s="94" t="n"/>
      <c r="F33" s="93" t="n"/>
      <c r="G33" s="94" t="n"/>
      <c r="H33" s="80" t="n"/>
      <c r="I33" s="80" t="n"/>
      <c r="J33" s="80" t="n"/>
      <c r="K33" s="80" t="n"/>
      <c r="L33" s="80" t="n"/>
      <c r="M33" s="80" t="n"/>
      <c r="N33" s="80" t="n"/>
      <c r="O33" s="80" t="n"/>
      <c r="P33" s="81" t="n"/>
    </row>
    <row r="34">
      <c r="A34" s="5" t="n"/>
      <c r="B34" s="82" t="n"/>
      <c r="C34" s="97" t="n"/>
      <c r="D34" s="74" t="n"/>
      <c r="E34" s="89" t="n"/>
      <c r="F34" s="74" t="n"/>
      <c r="G34" s="89" t="n"/>
      <c r="H34" s="80" t="n"/>
      <c r="I34" s="80" t="n"/>
      <c r="J34" s="80" t="n"/>
      <c r="K34" s="80" t="n"/>
      <c r="L34" s="80" t="n"/>
      <c r="M34" s="80" t="n"/>
      <c r="N34" s="80" t="n"/>
      <c r="O34" s="80" t="n"/>
      <c r="P34" s="81" t="n"/>
    </row>
    <row r="35">
      <c r="A35" s="5" t="n"/>
      <c r="B35" s="9" t="n"/>
      <c r="C35" s="98" t="n"/>
      <c r="D35" s="549" t="n"/>
      <c r="E35" s="5" t="n"/>
      <c r="F35" s="5" t="n"/>
      <c r="G35" s="46" t="n"/>
      <c r="H35" s="80" t="n"/>
      <c r="I35" s="80" t="n"/>
      <c r="J35" s="80" t="n"/>
      <c r="K35" s="80" t="n"/>
      <c r="L35" s="80" t="n"/>
      <c r="M35" s="80" t="n"/>
      <c r="N35" s="80" t="n"/>
      <c r="O35" s="80" t="n"/>
      <c r="P35" s="81" t="n"/>
    </row>
    <row r="36">
      <c r="A36" s="5" t="n"/>
      <c r="B36" s="82" t="n"/>
      <c r="C36" s="99" t="n"/>
      <c r="D36" s="79" t="n"/>
      <c r="E36" s="79" t="n"/>
      <c r="F36" s="79" t="n"/>
      <c r="G36" s="79" t="n"/>
      <c r="H36" s="80" t="n"/>
      <c r="I36" s="80" t="n"/>
      <c r="J36" s="80" t="n"/>
      <c r="K36" s="80" t="n"/>
      <c r="L36" s="80" t="n"/>
      <c r="M36" s="80" t="n"/>
      <c r="N36" s="80" t="n"/>
      <c r="O36" s="80" t="n"/>
      <c r="P36" s="81" t="n"/>
    </row>
    <row r="37">
      <c r="A37" s="5" t="n"/>
      <c r="B37" s="5" t="n"/>
      <c r="C37" s="100" t="n"/>
      <c r="D37" s="81" t="n"/>
      <c r="E37" s="80" t="n"/>
      <c r="F37" s="80" t="n"/>
      <c r="G37" s="80" t="n"/>
      <c r="H37" s="80" t="n"/>
      <c r="I37" s="80" t="n"/>
      <c r="J37" s="80" t="n"/>
      <c r="K37" s="80" t="n"/>
      <c r="L37" s="80" t="n"/>
      <c r="M37" s="80" t="n"/>
      <c r="N37" s="80" t="n"/>
      <c r="O37" s="80" t="n"/>
      <c r="P37" s="81" t="n"/>
    </row>
    <row r="38">
      <c r="A38" s="5" t="n"/>
      <c r="B38" s="5" t="n"/>
      <c r="C38" s="100" t="n"/>
      <c r="D38" s="81" t="n"/>
      <c r="E38" s="80" t="n"/>
      <c r="F38" s="80" t="n"/>
      <c r="G38" s="80" t="n"/>
      <c r="H38" s="80" t="n"/>
      <c r="I38" s="80" t="n"/>
      <c r="J38" s="80" t="n"/>
      <c r="K38" s="80" t="n"/>
      <c r="L38" s="80" t="n"/>
      <c r="M38" s="80" t="n"/>
      <c r="N38" s="80" t="n"/>
      <c r="O38" s="80" t="n"/>
      <c r="P38" s="81" t="n"/>
    </row>
    <row r="39">
      <c r="A39" s="5" t="n"/>
      <c r="B39" s="5" t="n"/>
      <c r="C39" s="100" t="n"/>
      <c r="D39" s="81" t="n"/>
      <c r="E39" s="80" t="n"/>
      <c r="F39" s="80" t="n"/>
      <c r="G39" s="80" t="n"/>
      <c r="H39" s="80" t="n"/>
      <c r="I39" s="80" t="n"/>
      <c r="J39" s="80" t="n"/>
      <c r="K39" s="80" t="n"/>
      <c r="L39" s="80" t="n"/>
      <c r="M39" s="80" t="n"/>
      <c r="N39" s="80" t="n"/>
      <c r="O39" s="80" t="n"/>
      <c r="P39" s="81" t="n"/>
    </row>
    <row r="40">
      <c r="A40" s="5" t="n"/>
      <c r="B40" s="5" t="n"/>
      <c r="C40" s="100" t="n"/>
      <c r="D40" s="81" t="n"/>
      <c r="E40" s="80" t="n"/>
      <c r="F40" s="80" t="n"/>
      <c r="G40" s="80" t="n"/>
      <c r="H40" s="80" t="n"/>
      <c r="I40" s="80" t="n"/>
      <c r="J40" s="80" t="n"/>
      <c r="K40" s="80" t="n"/>
      <c r="L40" s="80" t="n"/>
      <c r="M40" s="80" t="n"/>
      <c r="N40" s="80" t="n"/>
      <c r="O40" s="80" t="n"/>
      <c r="P40" s="81" t="n"/>
    </row>
    <row r="41">
      <c r="A41" s="82" t="n"/>
      <c r="B41" s="5" t="n"/>
      <c r="C41" s="100" t="n"/>
      <c r="D41" s="81" t="n"/>
      <c r="E41" s="80" t="n"/>
      <c r="F41" s="80" t="n"/>
      <c r="G41" s="80" t="n"/>
      <c r="H41" s="551" t="n"/>
      <c r="I41" s="551" t="n"/>
      <c r="J41" s="551" t="n"/>
      <c r="K41" s="551" t="n"/>
      <c r="L41" s="551" t="n"/>
      <c r="M41" s="551" t="n"/>
      <c r="N41" s="551" t="n"/>
      <c r="O41" s="551" t="n"/>
      <c r="P41" s="89" t="n"/>
    </row>
    <row r="42">
      <c r="A42" s="9" t="n"/>
      <c r="B42" s="5" t="n"/>
      <c r="C42" s="100" t="n"/>
      <c r="D42" s="81" t="n"/>
      <c r="E42" s="80" t="n"/>
      <c r="F42" s="80" t="n"/>
      <c r="G42" s="80" t="n"/>
      <c r="H42" s="46" t="n"/>
      <c r="I42" s="46" t="n"/>
      <c r="J42" s="46" t="n"/>
      <c r="K42" s="46" t="n"/>
      <c r="L42" s="46" t="n"/>
      <c r="M42" s="46" t="n"/>
      <c r="N42" s="46" t="n"/>
      <c r="O42" s="46" t="n"/>
      <c r="P42" s="46" t="n"/>
    </row>
    <row r="43">
      <c r="A43" s="82" t="n"/>
      <c r="B43" s="5" t="n"/>
      <c r="C43" s="100" t="n"/>
      <c r="D43" s="81" t="n"/>
      <c r="E43" s="80" t="n"/>
      <c r="F43" s="80" t="n"/>
      <c r="G43" s="80" t="n"/>
      <c r="H43" s="552" t="n"/>
      <c r="I43" s="552" t="n"/>
      <c r="J43" s="552" t="n"/>
      <c r="K43" s="552" t="n"/>
      <c r="L43" s="552" t="n"/>
      <c r="M43" s="552" t="n"/>
      <c r="N43" s="552" t="n"/>
      <c r="O43" s="552" t="n"/>
      <c r="P43" s="553" t="n"/>
    </row>
    <row r="44">
      <c r="B44" s="5" t="n"/>
      <c r="C44" s="100" t="n"/>
      <c r="D44" s="81" t="n"/>
      <c r="E44" s="80" t="n"/>
      <c r="F44" s="80" t="n"/>
      <c r="G44" s="80" t="n"/>
    </row>
    <row r="45">
      <c r="B45" s="82" t="n"/>
      <c r="C45" s="101" t="n"/>
      <c r="D45" s="89" t="n"/>
      <c r="E45" s="551" t="n"/>
      <c r="F45" s="551" t="n"/>
      <c r="G45" s="551" t="n"/>
    </row>
    <row r="46">
      <c r="B46" s="9" t="n"/>
      <c r="C46" s="98" t="n"/>
      <c r="D46" s="46" t="n"/>
      <c r="E46" s="5" t="n"/>
      <c r="F46" s="5" t="n"/>
      <c r="G46" s="46" t="n"/>
    </row>
    <row r="47">
      <c r="B47" s="82" t="n"/>
      <c r="C47" s="102" t="n"/>
      <c r="D47" s="553" t="n"/>
      <c r="E47" s="552" t="n"/>
      <c r="F47" s="552" t="n"/>
      <c r="G47" s="552" t="n"/>
    </row>
  </sheetData>
  <sheetProtection selectLockedCells="0" selectUnlockedCells="0" sheet="1" objects="1" insertRows="1" insertHyperlinks="1" autoFilter="1" scenarios="1" formatColumns="0" deleteColumns="1" insertColumns="1" pivotTables="1" deleteRows="1" formatCells="1" formatRows="0" sort="1" password="CC3D"/>
  <mergeCells count="2">
    <mergeCell ref="C5:D5"/>
    <mergeCell ref="C4:D4"/>
  </mergeCells>
  <pageMargins left="0.7" right="0.7" top="0.75" bottom="0.75" header="0.3" footer="0.3"/>
  <pageSetup orientation="landscape"/>
  <headerFooter scaleWithDoc="0">
    <oddHeader>&amp;C&amp;"Gill Sans MT,Regular"&amp;12 Payroll Years 1-3</oddHeader>
    <oddFooter>&amp;L&amp;F&amp;C&amp;A&amp;R&amp;D &amp;T</oddFooter>
    <evenHeader/>
    <evenFooter/>
    <firstHeader/>
    <firstFooter/>
  </headerFooter>
</worksheet>
</file>

<file path=xl/worksheets/sheet5.xml><?xml version="1.0" encoding="utf-8"?>
<worksheet xmlns="http://schemas.openxmlformats.org/spreadsheetml/2006/main">
  <sheetPr codeName="Sheet2">
    <tabColor rgb="FFFFC95B"/>
    <outlinePr summaryBelow="1" summaryRight="1"/>
    <pageSetUpPr fitToPage="1"/>
  </sheetPr>
  <dimension ref="B2:Q60"/>
  <sheetViews>
    <sheetView zoomScaleNormal="100" zoomScalePageLayoutView="50" workbookViewId="0">
      <selection activeCell="O8" sqref="O8"/>
    </sheetView>
  </sheetViews>
  <sheetFormatPr baseColWidth="8" defaultColWidth="8.83984375" defaultRowHeight="13.5"/>
  <cols>
    <col width="8.15625" customWidth="1" style="46" min="1" max="1"/>
    <col width="28.26171875" bestFit="1" customWidth="1" style="46" min="2" max="2"/>
    <col width="17.41796875" bestFit="1" customWidth="1" style="46" min="3" max="3"/>
    <col width="12.41796875" bestFit="1" customWidth="1" style="46" min="4" max="4"/>
    <col width="11.26171875" bestFit="1" customWidth="1" style="46" min="5" max="5"/>
    <col width="18.26171875" bestFit="1" customWidth="1" style="46" min="6" max="6"/>
    <col width="10.26171875" bestFit="1" customWidth="1" style="46" min="7" max="10"/>
    <col width="11.83984375" bestFit="1" customWidth="1" style="46" min="11" max="11"/>
    <col width="10.26171875" bestFit="1" customWidth="1" style="46" min="12" max="12"/>
    <col width="11.15625" bestFit="1" customWidth="1" style="46" min="13" max="14"/>
    <col width="16.26171875" bestFit="1" customWidth="1" style="46" min="15" max="15"/>
    <col width="12" bestFit="1" customWidth="1" style="46" min="16" max="16"/>
    <col width="13.68359375" bestFit="1" customWidth="1" style="46" min="17" max="17"/>
    <col width="8.83984375" customWidth="1" style="46" min="18" max="16384"/>
  </cols>
  <sheetData>
    <row r="2">
      <c r="B2" s="504" t="inlineStr">
        <is>
          <t>Sales Forecast Year 1                                                      Q1</t>
        </is>
      </c>
      <c r="D2" s="501" t="inlineStr">
        <is>
          <t xml:space="preserve">                  Q2</t>
        </is>
      </c>
      <c r="E2" s="75" t="inlineStr">
        <is>
          <t xml:space="preserve">                Q3</t>
        </is>
      </c>
      <c r="F2" s="46" t="inlineStr">
        <is>
          <t xml:space="preserve">                                Q4</t>
        </is>
      </c>
    </row>
    <row r="3">
      <c r="B3" s="56" t="inlineStr">
        <is>
          <t>Monthly Growth Rate by Qtr Yr1</t>
        </is>
      </c>
      <c r="C3" s="471" t="n">
        <v>0.1</v>
      </c>
      <c r="D3" s="471" t="n">
        <v>0.06</v>
      </c>
      <c r="E3" s="471" t="n">
        <v>0.04</v>
      </c>
      <c r="F3" s="471" t="n">
        <v>0.03</v>
      </c>
      <c r="H3" s="469" t="n"/>
    </row>
    <row r="4">
      <c r="B4" s="501" t="inlineStr">
        <is>
          <t>Prepared By:</t>
        </is>
      </c>
      <c r="C4" s="501" t="inlineStr">
        <is>
          <t>Company Name:</t>
        </is>
      </c>
      <c r="D4" s="56" t="n"/>
    </row>
    <row r="5" ht="18" customHeight="1">
      <c r="B5" s="5">
        <f>IF(ISBLANK(Directions!C10), "Owner", Directions!C10)</f>
        <v/>
      </c>
      <c r="C5" s="502">
        <f>IF(ISBLANK(Directions!D10), "Company 1", Directions!D10)</f>
        <v/>
      </c>
    </row>
    <row r="6">
      <c r="D6" s="103" t="n"/>
    </row>
    <row r="7" ht="13.8" customHeight="1" thickBot="1">
      <c r="B7" s="505" t="inlineStr">
        <is>
          <t>Complete This Chart First:</t>
        </is>
      </c>
      <c r="C7" s="555" t="n"/>
      <c r="D7" s="555" t="n"/>
      <c r="E7" s="520" t="n"/>
      <c r="F7" s="7" t="n"/>
    </row>
    <row r="8" ht="45" customHeight="1" thickTop="1">
      <c r="B8" s="337" t="inlineStr">
        <is>
          <t>Product Lines</t>
        </is>
      </c>
      <c r="C8" s="337" t="inlineStr">
        <is>
          <t>Units</t>
        </is>
      </c>
      <c r="D8" s="347" t="inlineStr">
        <is>
          <t>Sales Price Per Unit</t>
        </is>
      </c>
      <c r="E8" s="348" t="inlineStr">
        <is>
          <t>COGS Per Unit</t>
        </is>
      </c>
      <c r="F8" s="68" t="inlineStr">
        <is>
          <t>Margin Per Unit</t>
        </is>
      </c>
      <c r="G8" s="318" t="n"/>
      <c r="H8" s="319" t="n"/>
      <c r="I8" s="319" t="n"/>
      <c r="J8" s="319" t="n"/>
    </row>
    <row r="9">
      <c r="B9" s="133" t="n"/>
      <c r="C9" s="133" t="n"/>
      <c r="D9" s="556" t="n"/>
      <c r="E9" s="557" t="n"/>
      <c r="F9" s="558">
        <f>D9-E9</f>
        <v/>
      </c>
      <c r="G9" s="104" t="n"/>
      <c r="H9" s="319" t="n"/>
      <c r="I9" s="319" t="n"/>
      <c r="J9" s="319" t="n"/>
    </row>
    <row r="10">
      <c r="B10" s="133" t="n"/>
      <c r="C10" s="133" t="n"/>
      <c r="D10" s="556" t="n"/>
      <c r="E10" s="557" t="n"/>
      <c r="F10" s="558">
        <f>D10-E10</f>
        <v/>
      </c>
      <c r="G10" s="104" t="n"/>
      <c r="H10" s="104" t="n"/>
    </row>
    <row r="11">
      <c r="B11" s="133" t="n"/>
      <c r="C11" s="133" t="n"/>
      <c r="D11" s="556" t="n"/>
      <c r="E11" s="557" t="n"/>
      <c r="F11" s="558">
        <f>D11-E11</f>
        <v/>
      </c>
      <c r="G11" s="104" t="n"/>
      <c r="H11" s="104" t="n"/>
    </row>
    <row r="12">
      <c r="B12" s="133" t="n"/>
      <c r="C12" s="133" t="n"/>
      <c r="D12" s="556" t="n"/>
      <c r="E12" s="557" t="n"/>
      <c r="F12" s="558">
        <f>D12-E12</f>
        <v/>
      </c>
      <c r="G12" s="104" t="n"/>
      <c r="H12" s="104" t="n"/>
    </row>
    <row r="13">
      <c r="B13" s="133" t="n"/>
      <c r="C13" s="133" t="n"/>
      <c r="D13" s="556" t="n"/>
      <c r="E13" s="557" t="n"/>
      <c r="F13" s="558">
        <f>D13-E13</f>
        <v/>
      </c>
      <c r="G13" s="104" t="n"/>
      <c r="H13" s="104" t="n"/>
    </row>
    <row r="14">
      <c r="B14" s="133" t="n"/>
      <c r="C14" s="133" t="n"/>
      <c r="D14" s="556" t="n"/>
      <c r="E14" s="557" t="n"/>
      <c r="F14" s="558">
        <f>D14-E14</f>
        <v/>
      </c>
      <c r="G14" s="104" t="n"/>
      <c r="H14" s="104" t="n"/>
    </row>
    <row r="15">
      <c r="C15" s="503" t="n"/>
    </row>
    <row r="16" ht="27.3" customHeight="1" thickBot="1">
      <c r="B16" s="506" t="inlineStr">
        <is>
          <t>Product Lines</t>
        </is>
      </c>
      <c r="C16" s="506">
        <f>'2a-PayrollYear1'!F7</f>
        <v/>
      </c>
      <c r="D16" s="506">
        <f>'2a-PayrollYear1'!G7</f>
        <v/>
      </c>
      <c r="E16" s="506">
        <f>'2a-PayrollYear1'!H7</f>
        <v/>
      </c>
      <c r="F16" s="506">
        <f>'2a-PayrollYear1'!I7</f>
        <v/>
      </c>
      <c r="G16" s="506">
        <f>'2a-PayrollYear1'!J7</f>
        <v/>
      </c>
      <c r="H16" s="506">
        <f>'2a-PayrollYear1'!K7</f>
        <v/>
      </c>
      <c r="I16" s="506">
        <f>'2a-PayrollYear1'!L7</f>
        <v/>
      </c>
      <c r="J16" s="506">
        <f>'2a-PayrollYear1'!M7</f>
        <v/>
      </c>
      <c r="K16" s="506">
        <f>'2a-PayrollYear1'!N7</f>
        <v/>
      </c>
      <c r="L16" s="506">
        <f>'2a-PayrollYear1'!O7</f>
        <v/>
      </c>
      <c r="M16" s="506">
        <f>'2a-PayrollYear1'!P7</f>
        <v/>
      </c>
      <c r="N16" s="506">
        <f>'2a-PayrollYear1'!Q7</f>
        <v/>
      </c>
      <c r="O16" s="506" t="inlineStr">
        <is>
          <t>Annual Totals</t>
        </is>
      </c>
      <c r="P16" s="506" t="inlineStr">
        <is>
          <t>Category Breakdown</t>
        </is>
      </c>
      <c r="Q16" s="506" t="inlineStr">
        <is>
          <t>Category / Total</t>
        </is>
      </c>
    </row>
    <row r="17" ht="13.8" customHeight="1" thickTop="1">
      <c r="B17" s="117">
        <f>IF(ISBLANK(B9), "Product 1", B9)</f>
        <v/>
      </c>
      <c r="C17" s="331" t="n"/>
      <c r="D17" s="331" t="n"/>
      <c r="E17" s="331" t="n"/>
      <c r="F17" s="331" t="n"/>
      <c r="G17" s="331" t="n"/>
      <c r="H17" s="331" t="n"/>
      <c r="I17" s="331" t="n"/>
      <c r="J17" s="331" t="n"/>
      <c r="K17" s="331" t="n"/>
      <c r="L17" s="331" t="n"/>
      <c r="M17" s="331" t="n"/>
      <c r="N17" s="331" t="n"/>
      <c r="O17" s="119" t="n"/>
      <c r="P17" s="322" t="n"/>
      <c r="Q17" s="119" t="n"/>
    </row>
    <row r="18">
      <c r="B18" s="107">
        <f>IF(ISBLANK(C9), "Units Sold", Unit1&amp; " Sold")</f>
        <v/>
      </c>
      <c r="C18" s="138" t="n"/>
      <c r="D18" s="138">
        <f>C18+C18*$C$3</f>
        <v/>
      </c>
      <c r="E18" s="138">
        <f>D18+D18*$C$3</f>
        <v/>
      </c>
      <c r="F18" s="138">
        <f>E18+E18*$D$3</f>
        <v/>
      </c>
      <c r="G18" s="138">
        <f>F18+F18*$D$3</f>
        <v/>
      </c>
      <c r="H18" s="138">
        <f>G18+G18*$D$3</f>
        <v/>
      </c>
      <c r="I18" s="138">
        <f>H18+H18*$E$3</f>
        <v/>
      </c>
      <c r="J18" s="138">
        <f>I18+I18*$E$3</f>
        <v/>
      </c>
      <c r="K18" s="138">
        <f>J18+J18*$E$3</f>
        <v/>
      </c>
      <c r="L18" s="138">
        <f>K18+K18*$F$3</f>
        <v/>
      </c>
      <c r="M18" s="138">
        <f>L18+L18*$F$3</f>
        <v/>
      </c>
      <c r="N18" s="138">
        <f>M18+M18*$F$3</f>
        <v/>
      </c>
      <c r="O18" s="297">
        <f>SUM(C18:N18)</f>
        <v/>
      </c>
      <c r="P18" s="7" t="n"/>
      <c r="Q18" s="289">
        <f>IF($O$52=0,0,O18/$O$52)</f>
        <v/>
      </c>
    </row>
    <row r="19">
      <c r="B19" s="110" t="inlineStr">
        <is>
          <t>Total Sales</t>
        </is>
      </c>
      <c r="C19" s="291">
        <f>$D$9*C18</f>
        <v/>
      </c>
      <c r="D19" s="291">
        <f>$D$9*D18</f>
        <v/>
      </c>
      <c r="E19" s="291">
        <f>$D$9*E18</f>
        <v/>
      </c>
      <c r="F19" s="291">
        <f>$D$9*F18</f>
        <v/>
      </c>
      <c r="G19" s="291">
        <f>$D$9*G18</f>
        <v/>
      </c>
      <c r="H19" s="291">
        <f>$D$9*H18</f>
        <v/>
      </c>
      <c r="I19" s="291">
        <f>$D$9*I18</f>
        <v/>
      </c>
      <c r="J19" s="291">
        <f>$D$9*J18</f>
        <v/>
      </c>
      <c r="K19" s="291">
        <f>$D$9*K18</f>
        <v/>
      </c>
      <c r="L19" s="291">
        <f>$D$9*L18</f>
        <v/>
      </c>
      <c r="M19" s="291">
        <f>$D$9*M18</f>
        <v/>
      </c>
      <c r="N19" s="291">
        <f>$D$9*N18</f>
        <v/>
      </c>
      <c r="O19" s="111">
        <f>SUM(C19:N19)</f>
        <v/>
      </c>
      <c r="P19" s="290">
        <f>(P20+P21)</f>
        <v/>
      </c>
      <c r="Q19" s="289">
        <f>IF($O$53=0,0,O19/$O$53)</f>
        <v/>
      </c>
    </row>
    <row r="20">
      <c r="B20" s="110" t="inlineStr">
        <is>
          <t>Total COGS</t>
        </is>
      </c>
      <c r="C20" s="291">
        <f>$E$9*C18</f>
        <v/>
      </c>
      <c r="D20" s="291">
        <f>$E$9*D18</f>
        <v/>
      </c>
      <c r="E20" s="291">
        <f>$E$9*E18</f>
        <v/>
      </c>
      <c r="F20" s="291">
        <f>$E$9*F18</f>
        <v/>
      </c>
      <c r="G20" s="291">
        <f>$E$9*G18</f>
        <v/>
      </c>
      <c r="H20" s="291">
        <f>$E$9*H18</f>
        <v/>
      </c>
      <c r="I20" s="291">
        <f>$E$9*I18</f>
        <v/>
      </c>
      <c r="J20" s="291">
        <f>$E$9*J18</f>
        <v/>
      </c>
      <c r="K20" s="291">
        <f>$E$9*K18</f>
        <v/>
      </c>
      <c r="L20" s="291">
        <f>$E$9*L18</f>
        <v/>
      </c>
      <c r="M20" s="291">
        <f>$E$9*M18</f>
        <v/>
      </c>
      <c r="N20" s="291">
        <f>$E$9*N18</f>
        <v/>
      </c>
      <c r="O20" s="111">
        <f>SUM(C20:N20)</f>
        <v/>
      </c>
      <c r="P20" s="290">
        <f>IF(O19=0,0,O20/O19)</f>
        <v/>
      </c>
      <c r="Q20" s="289">
        <f>IF($O$54=0,0,O20/$O$54)</f>
        <v/>
      </c>
    </row>
    <row r="21">
      <c r="B21" s="112" t="inlineStr">
        <is>
          <t>Total Margin</t>
        </is>
      </c>
      <c r="C21" s="292">
        <f>C19-C20</f>
        <v/>
      </c>
      <c r="D21" s="292">
        <f>D19-D20</f>
        <v/>
      </c>
      <c r="E21" s="292">
        <f>E19-E20</f>
        <v/>
      </c>
      <c r="F21" s="292">
        <f>F19-F20</f>
        <v/>
      </c>
      <c r="G21" s="292">
        <f>G19-G20</f>
        <v/>
      </c>
      <c r="H21" s="292">
        <f>H19-H20</f>
        <v/>
      </c>
      <c r="I21" s="292">
        <f>I19-I20</f>
        <v/>
      </c>
      <c r="J21" s="292">
        <f>J19-J20</f>
        <v/>
      </c>
      <c r="K21" s="292">
        <f>K19-K20</f>
        <v/>
      </c>
      <c r="L21" s="292">
        <f>L19-L20</f>
        <v/>
      </c>
      <c r="M21" s="292">
        <f>M19-M20</f>
        <v/>
      </c>
      <c r="N21" s="292">
        <f>N19-N20</f>
        <v/>
      </c>
      <c r="O21" s="111">
        <f>SUM(C21:N21)</f>
        <v/>
      </c>
      <c r="P21" s="290">
        <f>IF(O19=0,0,O21/O19)</f>
        <v/>
      </c>
      <c r="Q21" s="289">
        <f>IF($O$55=0,0,O21/$O$55)</f>
        <v/>
      </c>
    </row>
    <row r="22">
      <c r="B22" s="113" t="n"/>
      <c r="C22" s="114" t="n"/>
      <c r="D22" s="115" t="n"/>
      <c r="E22" s="115" t="n"/>
      <c r="F22" s="115" t="n"/>
      <c r="G22" s="115" t="n"/>
      <c r="H22" s="115" t="n"/>
      <c r="I22" s="115" t="n"/>
      <c r="J22" s="115" t="n"/>
      <c r="K22" s="115" t="n"/>
      <c r="L22" s="115" t="n"/>
      <c r="M22" s="115" t="n"/>
      <c r="N22" s="115" t="n"/>
      <c r="O22" s="116" t="n"/>
      <c r="P22" s="7" t="n"/>
      <c r="Q22" s="109" t="n"/>
    </row>
    <row r="23">
      <c r="B23" s="105">
        <f>IF(ISBLANK(B10), "Product 2", B10)</f>
        <v/>
      </c>
      <c r="C23" s="118" t="n"/>
      <c r="D23" s="118" t="n"/>
      <c r="E23" s="118" t="n"/>
      <c r="F23" s="118" t="n"/>
      <c r="G23" s="118" t="n"/>
      <c r="H23" s="118" t="n"/>
      <c r="I23" s="118" t="n"/>
      <c r="J23" s="118" t="n"/>
      <c r="K23" s="118" t="n"/>
      <c r="L23" s="118" t="n"/>
      <c r="M23" s="118" t="n"/>
      <c r="N23" s="118" t="n"/>
      <c r="O23" s="119" t="n"/>
      <c r="P23" s="7" t="n"/>
      <c r="Q23" s="109" t="n"/>
    </row>
    <row r="24">
      <c r="B24" s="107">
        <f>IF(ISBLANK(C10), "Units Sold", Unit2&amp; " Sold")</f>
        <v/>
      </c>
      <c r="C24" s="138" t="n"/>
      <c r="D24" s="138">
        <f>C24+C24*$C$3</f>
        <v/>
      </c>
      <c r="E24" s="138">
        <f>D24+D24*$C$3</f>
        <v/>
      </c>
      <c r="F24" s="138">
        <f>E24+E24*$D$3</f>
        <v/>
      </c>
      <c r="G24" s="138">
        <f>F24+F24*$D$3</f>
        <v/>
      </c>
      <c r="H24" s="138">
        <f>G24+G24*$D$3</f>
        <v/>
      </c>
      <c r="I24" s="138">
        <f>H24+H24*$E$3</f>
        <v/>
      </c>
      <c r="J24" s="138">
        <f>I24+I24*$E$3</f>
        <v/>
      </c>
      <c r="K24" s="138">
        <f>J24+J24*$E$3</f>
        <v/>
      </c>
      <c r="L24" s="138">
        <f>K24+K24*$F$3</f>
        <v/>
      </c>
      <c r="M24" s="138">
        <f>L24+L24*$F$3</f>
        <v/>
      </c>
      <c r="N24" s="138">
        <f>M24+M24*$F$3</f>
        <v/>
      </c>
      <c r="O24" s="298">
        <f>SUM(C24:N24)</f>
        <v/>
      </c>
      <c r="P24" s="7" t="n"/>
      <c r="Q24" s="289">
        <f>IF($O$52=0,0,O24/$O$52)</f>
        <v/>
      </c>
    </row>
    <row r="25">
      <c r="B25" s="120" t="inlineStr">
        <is>
          <t>Total Sales</t>
        </is>
      </c>
      <c r="C25" s="291">
        <f>$D$10*C24</f>
        <v/>
      </c>
      <c r="D25" s="291">
        <f>$D$10*D24</f>
        <v/>
      </c>
      <c r="E25" s="291">
        <f>$D$10*E24</f>
        <v/>
      </c>
      <c r="F25" s="291">
        <f>$D$10*F24</f>
        <v/>
      </c>
      <c r="G25" s="291">
        <f>$D$10*G24</f>
        <v/>
      </c>
      <c r="H25" s="291">
        <f>$D$10*H24</f>
        <v/>
      </c>
      <c r="I25" s="291">
        <f>$D$10*I24</f>
        <v/>
      </c>
      <c r="J25" s="291">
        <f>$D$10*J24</f>
        <v/>
      </c>
      <c r="K25" s="291">
        <f>$D$10*K24</f>
        <v/>
      </c>
      <c r="L25" s="291">
        <f>$D$10*L24</f>
        <v/>
      </c>
      <c r="M25" s="291">
        <f>$D$10*M24</f>
        <v/>
      </c>
      <c r="N25" s="291">
        <f>$D$10*N24</f>
        <v/>
      </c>
      <c r="O25" s="121">
        <f>SUM(C25:N25)</f>
        <v/>
      </c>
      <c r="P25" s="290">
        <f>(P26+P27)</f>
        <v/>
      </c>
      <c r="Q25" s="289">
        <f>IF($O$53=0,0,O25/$O$53)</f>
        <v/>
      </c>
    </row>
    <row r="26">
      <c r="B26" s="120" t="inlineStr">
        <is>
          <t>Total COGS</t>
        </is>
      </c>
      <c r="C26" s="291">
        <f>$E$10*C24</f>
        <v/>
      </c>
      <c r="D26" s="291">
        <f>$E$10*D24</f>
        <v/>
      </c>
      <c r="E26" s="291">
        <f>$E$10*E24</f>
        <v/>
      </c>
      <c r="F26" s="291">
        <f>$E$10*F24</f>
        <v/>
      </c>
      <c r="G26" s="291">
        <f>$E$10*G24</f>
        <v/>
      </c>
      <c r="H26" s="291">
        <f>$E$10*H24</f>
        <v/>
      </c>
      <c r="I26" s="291">
        <f>$E$10*I24</f>
        <v/>
      </c>
      <c r="J26" s="291">
        <f>$E$10*J24</f>
        <v/>
      </c>
      <c r="K26" s="291">
        <f>$E$10*K24</f>
        <v/>
      </c>
      <c r="L26" s="291">
        <f>$E$10*L24</f>
        <v/>
      </c>
      <c r="M26" s="291">
        <f>$E$10*M24</f>
        <v/>
      </c>
      <c r="N26" s="291">
        <f>$E$10*N24</f>
        <v/>
      </c>
      <c r="O26" s="121">
        <f>SUM(C26:N26)</f>
        <v/>
      </c>
      <c r="P26" s="290">
        <f>IF(O25=0,0,O26/O25)</f>
        <v/>
      </c>
      <c r="Q26" s="289">
        <f>IF($O$54=0,0,O26/$O$54)</f>
        <v/>
      </c>
    </row>
    <row r="27">
      <c r="B27" s="112" t="inlineStr">
        <is>
          <t>Margin</t>
        </is>
      </c>
      <c r="C27" s="292">
        <f>C25-C26</f>
        <v/>
      </c>
      <c r="D27" s="292">
        <f>D25-D26</f>
        <v/>
      </c>
      <c r="E27" s="292">
        <f>E25-E26</f>
        <v/>
      </c>
      <c r="F27" s="292">
        <f>F25-F26</f>
        <v/>
      </c>
      <c r="G27" s="292">
        <f>G25-G26</f>
        <v/>
      </c>
      <c r="H27" s="292">
        <f>H25-H26</f>
        <v/>
      </c>
      <c r="I27" s="292">
        <f>I25-I26</f>
        <v/>
      </c>
      <c r="J27" s="292">
        <f>J25-J26</f>
        <v/>
      </c>
      <c r="K27" s="292">
        <f>K25-K26</f>
        <v/>
      </c>
      <c r="L27" s="292">
        <f>L25-L26</f>
        <v/>
      </c>
      <c r="M27" s="292">
        <f>M25-M26</f>
        <v/>
      </c>
      <c r="N27" s="292">
        <f>N25-N26</f>
        <v/>
      </c>
      <c r="O27" s="121">
        <f>SUM(C27:N27)</f>
        <v/>
      </c>
      <c r="P27" s="290">
        <f>IF(O25=0,0,O27/O25)</f>
        <v/>
      </c>
      <c r="Q27" s="289">
        <f>IF($O$55=0,0,O27/$O$55)</f>
        <v/>
      </c>
    </row>
    <row r="28">
      <c r="B28" s="113" t="n"/>
      <c r="C28" s="115" t="n"/>
      <c r="D28" s="115" t="n"/>
      <c r="E28" s="115" t="n"/>
      <c r="F28" s="115" t="n"/>
      <c r="G28" s="115" t="n"/>
      <c r="H28" s="115" t="n"/>
      <c r="I28" s="115" t="n"/>
      <c r="J28" s="115" t="n"/>
      <c r="K28" s="115" t="n"/>
      <c r="L28" s="115" t="n"/>
      <c r="M28" s="115" t="n"/>
      <c r="N28" s="115" t="n"/>
      <c r="O28" s="116" t="n"/>
      <c r="P28" s="7" t="n"/>
      <c r="Q28" s="109" t="n"/>
    </row>
    <row r="29">
      <c r="B29" s="105">
        <f>IF(ISBLANK(B11), "Product 3", B11)</f>
        <v/>
      </c>
      <c r="C29" s="122" t="n"/>
      <c r="D29" s="122" t="n"/>
      <c r="E29" s="122" t="n"/>
      <c r="F29" s="122" t="n"/>
      <c r="G29" s="122" t="n"/>
      <c r="H29" s="122" t="n"/>
      <c r="I29" s="122" t="n"/>
      <c r="J29" s="122" t="n"/>
      <c r="K29" s="122" t="n"/>
      <c r="L29" s="122" t="n"/>
      <c r="M29" s="122" t="n"/>
      <c r="N29" s="122" t="n"/>
      <c r="O29" s="119" t="n"/>
      <c r="P29" s="7" t="n"/>
      <c r="Q29" s="109" t="n"/>
    </row>
    <row r="30">
      <c r="B30" s="107">
        <f>IF(ISBLANK(C11), "Units Sold", Unit3&amp; " Sold")</f>
        <v/>
      </c>
      <c r="C30" s="138" t="n"/>
      <c r="D30" s="138">
        <f>C30+C30*$C$3</f>
        <v/>
      </c>
      <c r="E30" s="138">
        <f>D30+D30*$C$3</f>
        <v/>
      </c>
      <c r="F30" s="138">
        <f>E30+E30*$D$3</f>
        <v/>
      </c>
      <c r="G30" s="138">
        <f>F30+F30*$D$3</f>
        <v/>
      </c>
      <c r="H30" s="138">
        <f>G30+G30*$D$3</f>
        <v/>
      </c>
      <c r="I30" s="138">
        <f>H30+H30*$E$3</f>
        <v/>
      </c>
      <c r="J30" s="138">
        <f>I30+I30*$E$3</f>
        <v/>
      </c>
      <c r="K30" s="138">
        <f>J30+J30*$E$3</f>
        <v/>
      </c>
      <c r="L30" s="138">
        <f>K30+K30*$F$3</f>
        <v/>
      </c>
      <c r="M30" s="138">
        <f>L30+L30*$F$3</f>
        <v/>
      </c>
      <c r="N30" s="138">
        <f>M30+M30*$F$3</f>
        <v/>
      </c>
      <c r="O30" s="298">
        <f>SUM(C30:N30)</f>
        <v/>
      </c>
      <c r="P30" s="7" t="n"/>
      <c r="Q30" s="289">
        <f>IF($O$52=0,0,O30/$O$52)</f>
        <v/>
      </c>
    </row>
    <row r="31">
      <c r="B31" s="120" t="inlineStr">
        <is>
          <t>Total Sales</t>
        </is>
      </c>
      <c r="C31" s="293">
        <f>$D$11*C30</f>
        <v/>
      </c>
      <c r="D31" s="293">
        <f>$D$11*D30</f>
        <v/>
      </c>
      <c r="E31" s="293">
        <f>$D$11*E30</f>
        <v/>
      </c>
      <c r="F31" s="293">
        <f>$D$11*F30</f>
        <v/>
      </c>
      <c r="G31" s="293">
        <f>$D$11*G30</f>
        <v/>
      </c>
      <c r="H31" s="293">
        <f>$D$11*H30</f>
        <v/>
      </c>
      <c r="I31" s="293">
        <f>$D$11*I30</f>
        <v/>
      </c>
      <c r="J31" s="293">
        <f>$D$11*J30</f>
        <v/>
      </c>
      <c r="K31" s="293">
        <f>$D$11*K30</f>
        <v/>
      </c>
      <c r="L31" s="293">
        <f>$D$11*L30</f>
        <v/>
      </c>
      <c r="M31" s="293">
        <f>$D$11*M30</f>
        <v/>
      </c>
      <c r="N31" s="293">
        <f>$D$11*N30</f>
        <v/>
      </c>
      <c r="O31" s="121">
        <f>SUM(C31:N31)</f>
        <v/>
      </c>
      <c r="P31" s="290">
        <f>(P32+P33)</f>
        <v/>
      </c>
      <c r="Q31" s="289">
        <f>IF($O$53=0,0,O31/$O$53)</f>
        <v/>
      </c>
    </row>
    <row r="32">
      <c r="B32" s="120" t="inlineStr">
        <is>
          <t>Total COGS</t>
        </is>
      </c>
      <c r="C32" s="293">
        <f>$E$11*C30</f>
        <v/>
      </c>
      <c r="D32" s="293">
        <f>$E$11*D30</f>
        <v/>
      </c>
      <c r="E32" s="293">
        <f>$E$11*E30</f>
        <v/>
      </c>
      <c r="F32" s="293">
        <f>$E$11*F30</f>
        <v/>
      </c>
      <c r="G32" s="293">
        <f>$E$11*G30</f>
        <v/>
      </c>
      <c r="H32" s="293">
        <f>$E$11*H30</f>
        <v/>
      </c>
      <c r="I32" s="293">
        <f>$E$11*I30</f>
        <v/>
      </c>
      <c r="J32" s="293">
        <f>$E$11*J30</f>
        <v/>
      </c>
      <c r="K32" s="293">
        <f>$E$11*K30</f>
        <v/>
      </c>
      <c r="L32" s="293">
        <f>$E$11*L30</f>
        <v/>
      </c>
      <c r="M32" s="293">
        <f>$E$11*M30</f>
        <v/>
      </c>
      <c r="N32" s="293">
        <f>$E$11*N30</f>
        <v/>
      </c>
      <c r="O32" s="121">
        <f>SUM(C32:N32)</f>
        <v/>
      </c>
      <c r="P32" s="290">
        <f>IF(O31=0,0,O32/O31)</f>
        <v/>
      </c>
      <c r="Q32" s="289">
        <f>IF($O$54=0,0,O32/$O$54)</f>
        <v/>
      </c>
    </row>
    <row r="33">
      <c r="B33" s="112" t="inlineStr">
        <is>
          <t>Margin</t>
        </is>
      </c>
      <c r="C33" s="292">
        <f>C31-C32</f>
        <v/>
      </c>
      <c r="D33" s="292">
        <f>D31-D32</f>
        <v/>
      </c>
      <c r="E33" s="292">
        <f>E31-E32</f>
        <v/>
      </c>
      <c r="F33" s="292">
        <f>F31-F32</f>
        <v/>
      </c>
      <c r="G33" s="292">
        <f>G31-G32</f>
        <v/>
      </c>
      <c r="H33" s="292">
        <f>H31-H32</f>
        <v/>
      </c>
      <c r="I33" s="292">
        <f>I31-I32</f>
        <v/>
      </c>
      <c r="J33" s="292">
        <f>J31-J32</f>
        <v/>
      </c>
      <c r="K33" s="292">
        <f>K31-K32</f>
        <v/>
      </c>
      <c r="L33" s="292">
        <f>L31-L32</f>
        <v/>
      </c>
      <c r="M33" s="292">
        <f>M31-M32</f>
        <v/>
      </c>
      <c r="N33" s="292">
        <f>N31-N32</f>
        <v/>
      </c>
      <c r="O33" s="121">
        <f>SUM(C33:N33)</f>
        <v/>
      </c>
      <c r="P33" s="290">
        <f>IF(O31=0,0,O33/O31)</f>
        <v/>
      </c>
      <c r="Q33" s="289">
        <f>IF($O$55=0,0,O33/$O$55)</f>
        <v/>
      </c>
    </row>
    <row r="34">
      <c r="B34" s="123" t="n"/>
      <c r="C34" s="115" t="n"/>
      <c r="D34" s="115" t="n"/>
      <c r="E34" s="115" t="n"/>
      <c r="F34" s="115" t="n"/>
      <c r="G34" s="115" t="n"/>
      <c r="H34" s="115" t="n"/>
      <c r="I34" s="115" t="n"/>
      <c r="J34" s="115" t="n"/>
      <c r="K34" s="115" t="n"/>
      <c r="L34" s="115" t="n"/>
      <c r="M34" s="115" t="n"/>
      <c r="N34" s="115" t="n"/>
      <c r="O34" s="116" t="n"/>
      <c r="P34" s="7" t="n"/>
      <c r="Q34" s="109" t="n"/>
    </row>
    <row r="35">
      <c r="B35" s="105">
        <f>IF(ISBLANK(B12), "Product 4", B12)</f>
        <v/>
      </c>
      <c r="C35" s="118" t="n"/>
      <c r="D35" s="118" t="n"/>
      <c r="E35" s="118" t="n"/>
      <c r="F35" s="118" t="n"/>
      <c r="G35" s="118" t="n"/>
      <c r="H35" s="118" t="n"/>
      <c r="I35" s="118" t="n"/>
      <c r="J35" s="118" t="n"/>
      <c r="K35" s="118" t="n"/>
      <c r="L35" s="118" t="n"/>
      <c r="M35" s="118" t="n"/>
      <c r="N35" s="118" t="n"/>
      <c r="O35" s="119" t="n"/>
      <c r="P35" s="7" t="n"/>
      <c r="Q35" s="109" t="n"/>
    </row>
    <row r="36">
      <c r="B36" s="107">
        <f>IF(ISBLANK(C12), "Units Sold", Unit4&amp; " Sold")</f>
        <v/>
      </c>
      <c r="C36" s="139" t="n"/>
      <c r="D36" s="138">
        <f>C36+C36*$C$3</f>
        <v/>
      </c>
      <c r="E36" s="138">
        <f>D36+D36*$C$3</f>
        <v/>
      </c>
      <c r="F36" s="138">
        <f>E36+E36*$D$3</f>
        <v/>
      </c>
      <c r="G36" s="138">
        <f>F36+F36*$D$3</f>
        <v/>
      </c>
      <c r="H36" s="138">
        <f>G36+G36*$D$3</f>
        <v/>
      </c>
      <c r="I36" s="138">
        <f>H36+H36*$E$3</f>
        <v/>
      </c>
      <c r="J36" s="138">
        <f>I36+I36*$E$3</f>
        <v/>
      </c>
      <c r="K36" s="138">
        <f>J36+J36*$E$3</f>
        <v/>
      </c>
      <c r="L36" s="138">
        <f>K36+K36*$F$3</f>
        <v/>
      </c>
      <c r="M36" s="138">
        <f>L36+L36*$F$3</f>
        <v/>
      </c>
      <c r="N36" s="138">
        <f>M36+M36*$F$3</f>
        <v/>
      </c>
      <c r="O36" s="298">
        <f>SUM(C36:N36)</f>
        <v/>
      </c>
      <c r="P36" s="7" t="n"/>
      <c r="Q36" s="289">
        <f>IF($O$52=0,0,O36/$O$52)</f>
        <v/>
      </c>
    </row>
    <row r="37">
      <c r="B37" s="120" t="inlineStr">
        <is>
          <t>Total Sales</t>
        </is>
      </c>
      <c r="C37" s="293">
        <f>$D$12*C36</f>
        <v/>
      </c>
      <c r="D37" s="293">
        <f>$D$12*D36</f>
        <v/>
      </c>
      <c r="E37" s="293">
        <f>$D$12*E36</f>
        <v/>
      </c>
      <c r="F37" s="293">
        <f>$D$12*F36</f>
        <v/>
      </c>
      <c r="G37" s="293">
        <f>$D$12*G36</f>
        <v/>
      </c>
      <c r="H37" s="293">
        <f>$D$12*H36</f>
        <v/>
      </c>
      <c r="I37" s="293">
        <f>$D$12*I36</f>
        <v/>
      </c>
      <c r="J37" s="293">
        <f>$D$12*J36</f>
        <v/>
      </c>
      <c r="K37" s="293">
        <f>$D$12*K36</f>
        <v/>
      </c>
      <c r="L37" s="293">
        <f>$D$12*L36</f>
        <v/>
      </c>
      <c r="M37" s="293">
        <f>$D$12*M36</f>
        <v/>
      </c>
      <c r="N37" s="293">
        <f>$D$12*N36</f>
        <v/>
      </c>
      <c r="O37" s="111">
        <f>SUM(C37:N37)</f>
        <v/>
      </c>
      <c r="P37" s="290">
        <f>(P38+P39)</f>
        <v/>
      </c>
      <c r="Q37" s="289">
        <f>IF($O$53=0,0,O37/$O$53)</f>
        <v/>
      </c>
    </row>
    <row r="38">
      <c r="B38" s="120" t="inlineStr">
        <is>
          <t>Total COGS</t>
        </is>
      </c>
      <c r="C38" s="293">
        <f>$E$12*C36</f>
        <v/>
      </c>
      <c r="D38" s="293">
        <f>$E$12*D36</f>
        <v/>
      </c>
      <c r="E38" s="293">
        <f>$E$12*E36</f>
        <v/>
      </c>
      <c r="F38" s="293">
        <f>$E$12*F36</f>
        <v/>
      </c>
      <c r="G38" s="293">
        <f>$E$12*G36</f>
        <v/>
      </c>
      <c r="H38" s="293">
        <f>$E$12*H36</f>
        <v/>
      </c>
      <c r="I38" s="293">
        <f>$E$12*I36</f>
        <v/>
      </c>
      <c r="J38" s="293">
        <f>$E$12*J36</f>
        <v/>
      </c>
      <c r="K38" s="293">
        <f>$E$12*K36</f>
        <v/>
      </c>
      <c r="L38" s="293">
        <f>$E$12*L36</f>
        <v/>
      </c>
      <c r="M38" s="293">
        <f>$E$12*M36</f>
        <v/>
      </c>
      <c r="N38" s="293">
        <f>$E$12*N36</f>
        <v/>
      </c>
      <c r="O38" s="111">
        <f>SUM(C38:N38)</f>
        <v/>
      </c>
      <c r="P38" s="290">
        <f>IF(O37=0,0,O38/O37)</f>
        <v/>
      </c>
      <c r="Q38" s="289">
        <f>IF($O$54=0,0,O38/$O$54)</f>
        <v/>
      </c>
    </row>
    <row r="39">
      <c r="B39" s="112" t="inlineStr">
        <is>
          <t>Margin</t>
        </is>
      </c>
      <c r="C39" s="292">
        <f>C37-C38</f>
        <v/>
      </c>
      <c r="D39" s="292">
        <f>D37-D38</f>
        <v/>
      </c>
      <c r="E39" s="292">
        <f>E37-E38</f>
        <v/>
      </c>
      <c r="F39" s="292">
        <f>F37-F38</f>
        <v/>
      </c>
      <c r="G39" s="292">
        <f>G37-G38</f>
        <v/>
      </c>
      <c r="H39" s="292">
        <f>H37-H38</f>
        <v/>
      </c>
      <c r="I39" s="292">
        <f>I37-I38</f>
        <v/>
      </c>
      <c r="J39" s="292">
        <f>J37-J38</f>
        <v/>
      </c>
      <c r="K39" s="292">
        <f>K37-K38</f>
        <v/>
      </c>
      <c r="L39" s="292">
        <f>L37-L38</f>
        <v/>
      </c>
      <c r="M39" s="292">
        <f>M37-M38</f>
        <v/>
      </c>
      <c r="N39" s="292">
        <f>N37-N38</f>
        <v/>
      </c>
      <c r="O39" s="111">
        <f>SUM(C39:N39)</f>
        <v/>
      </c>
      <c r="P39" s="290">
        <f>IF(O37=0,0,O39/O37)</f>
        <v/>
      </c>
      <c r="Q39" s="289">
        <f>IF($O$55=0,0,O39/$O$55)</f>
        <v/>
      </c>
    </row>
    <row r="40">
      <c r="B40" s="123" t="n"/>
      <c r="C40" s="115" t="n"/>
      <c r="D40" s="115" t="n"/>
      <c r="E40" s="115" t="n"/>
      <c r="F40" s="124" t="n"/>
      <c r="G40" s="124" t="n"/>
      <c r="H40" s="124" t="n"/>
      <c r="I40" s="124" t="n"/>
      <c r="J40" s="124" t="n"/>
      <c r="K40" s="124" t="n"/>
      <c r="L40" s="124" t="n"/>
      <c r="M40" s="124" t="n"/>
      <c r="N40" s="124" t="n"/>
      <c r="O40" s="108" t="n"/>
      <c r="P40" s="7" t="n"/>
      <c r="Q40" s="109" t="n"/>
    </row>
    <row r="41">
      <c r="B41" s="105">
        <f>IF(ISBLANK(B13), "Product 5", B13)</f>
        <v/>
      </c>
      <c r="C41" s="122" t="n"/>
      <c r="D41" s="122" t="n"/>
      <c r="E41" s="122" t="n"/>
      <c r="F41" s="122" t="n"/>
      <c r="G41" s="122" t="n"/>
      <c r="H41" s="122" t="n"/>
      <c r="I41" s="122" t="n"/>
      <c r="J41" s="122" t="n"/>
      <c r="K41" s="122" t="n"/>
      <c r="L41" s="122" t="n"/>
      <c r="M41" s="122" t="n"/>
      <c r="N41" s="122" t="n"/>
      <c r="O41" s="119" t="n"/>
      <c r="P41" s="7" t="n"/>
      <c r="Q41" s="109" t="n"/>
    </row>
    <row r="42">
      <c r="B42" s="107">
        <f>IF(ISBLANK(C13), "Units Sold", Unit5&amp; " Sold")</f>
        <v/>
      </c>
      <c r="C42" s="138" t="n"/>
      <c r="D42" s="138">
        <f>C42+C42*$C$3</f>
        <v/>
      </c>
      <c r="E42" s="138">
        <f>D42+D42*$C$3</f>
        <v/>
      </c>
      <c r="F42" s="138">
        <f>E42+E42*$D$3</f>
        <v/>
      </c>
      <c r="G42" s="138">
        <f>F42+F42*$D$3</f>
        <v/>
      </c>
      <c r="H42" s="138">
        <f>G42+G42*$D$3</f>
        <v/>
      </c>
      <c r="I42" s="138">
        <f>H42+H42*$E$3</f>
        <v/>
      </c>
      <c r="J42" s="138">
        <f>I42+I42*$E$3</f>
        <v/>
      </c>
      <c r="K42" s="138">
        <f>J42+J42*$E$3</f>
        <v/>
      </c>
      <c r="L42" s="138">
        <f>K42+K42*$F$3</f>
        <v/>
      </c>
      <c r="M42" s="138">
        <f>L42+L42*$F$3</f>
        <v/>
      </c>
      <c r="N42" s="138">
        <f>M42+M42*$F$3</f>
        <v/>
      </c>
      <c r="O42" s="297">
        <f>SUM(C42:N42)</f>
        <v/>
      </c>
      <c r="P42" s="7" t="n"/>
      <c r="Q42" s="289">
        <f>IF($O$52=0,0,O42/$O$52)</f>
        <v/>
      </c>
    </row>
    <row r="43">
      <c r="B43" s="120" t="inlineStr">
        <is>
          <t>Total Sales</t>
        </is>
      </c>
      <c r="C43" s="293">
        <f>$D$13*C42</f>
        <v/>
      </c>
      <c r="D43" s="293">
        <f>$D$13*D42</f>
        <v/>
      </c>
      <c r="E43" s="293">
        <f>$D$13*E42</f>
        <v/>
      </c>
      <c r="F43" s="293">
        <f>$D$13*F42</f>
        <v/>
      </c>
      <c r="G43" s="293">
        <f>$D$13*G42</f>
        <v/>
      </c>
      <c r="H43" s="293">
        <f>$D$13*H42</f>
        <v/>
      </c>
      <c r="I43" s="293">
        <f>$D$13*I42</f>
        <v/>
      </c>
      <c r="J43" s="293">
        <f>$D$13*J42</f>
        <v/>
      </c>
      <c r="K43" s="293">
        <f>$D$13*K42</f>
        <v/>
      </c>
      <c r="L43" s="293">
        <f>$D$13*L42</f>
        <v/>
      </c>
      <c r="M43" s="293">
        <f>$D$13*M42</f>
        <v/>
      </c>
      <c r="N43" s="293">
        <f>$D$13*N42</f>
        <v/>
      </c>
      <c r="O43" s="111">
        <f>SUM(C43:N43)</f>
        <v/>
      </c>
      <c r="P43" s="290">
        <f>(P44+P45)</f>
        <v/>
      </c>
      <c r="Q43" s="289">
        <f>IF($O$53=0,0,O43/$O$53)</f>
        <v/>
      </c>
    </row>
    <row r="44">
      <c r="B44" s="120" t="inlineStr">
        <is>
          <t>Total COGS</t>
        </is>
      </c>
      <c r="C44" s="293">
        <f>$E$13*C42</f>
        <v/>
      </c>
      <c r="D44" s="293">
        <f>$E$13*D42</f>
        <v/>
      </c>
      <c r="E44" s="293">
        <f>$E$13*E42</f>
        <v/>
      </c>
      <c r="F44" s="293">
        <f>$E$13*F42</f>
        <v/>
      </c>
      <c r="G44" s="293">
        <f>$E$13*G42</f>
        <v/>
      </c>
      <c r="H44" s="293">
        <f>$E$13*H42</f>
        <v/>
      </c>
      <c r="I44" s="293">
        <f>$E$13*I42</f>
        <v/>
      </c>
      <c r="J44" s="293">
        <f>$E$13*J42</f>
        <v/>
      </c>
      <c r="K44" s="293">
        <f>$E$13*K42</f>
        <v/>
      </c>
      <c r="L44" s="293">
        <f>$E$13*L42</f>
        <v/>
      </c>
      <c r="M44" s="293">
        <f>$E$13*M42</f>
        <v/>
      </c>
      <c r="N44" s="293">
        <f>$E$13*N42</f>
        <v/>
      </c>
      <c r="O44" s="111">
        <f>SUM(C44:N44)</f>
        <v/>
      </c>
      <c r="P44" s="290">
        <f>IF(O43=0,0,O44/O43)</f>
        <v/>
      </c>
      <c r="Q44" s="289">
        <f>IF($O$54=0,0,O44/$O$54)</f>
        <v/>
      </c>
    </row>
    <row r="45">
      <c r="B45" s="112" t="inlineStr">
        <is>
          <t>Margin</t>
        </is>
      </c>
      <c r="C45" s="294">
        <f>C43-C44</f>
        <v/>
      </c>
      <c r="D45" s="294">
        <f>D43-D44</f>
        <v/>
      </c>
      <c r="E45" s="294">
        <f>E43-E44</f>
        <v/>
      </c>
      <c r="F45" s="294">
        <f>F43-F44</f>
        <v/>
      </c>
      <c r="G45" s="294">
        <f>G43-G44</f>
        <v/>
      </c>
      <c r="H45" s="294">
        <f>H43-H44</f>
        <v/>
      </c>
      <c r="I45" s="294">
        <f>I43-I44</f>
        <v/>
      </c>
      <c r="J45" s="294">
        <f>J43-J44</f>
        <v/>
      </c>
      <c r="K45" s="294">
        <f>K43-K44</f>
        <v/>
      </c>
      <c r="L45" s="294">
        <f>L43-L44</f>
        <v/>
      </c>
      <c r="M45" s="294">
        <f>M43-M44</f>
        <v/>
      </c>
      <c r="N45" s="294">
        <f>N43-N44</f>
        <v/>
      </c>
      <c r="O45" s="111">
        <f>SUM(C45:N45)</f>
        <v/>
      </c>
      <c r="P45" s="290">
        <f>IF(O43=0,0,O45/O43)</f>
        <v/>
      </c>
      <c r="Q45" s="289">
        <f>IF($O$55=0,0,O45/$O$55)</f>
        <v/>
      </c>
    </row>
    <row r="46">
      <c r="B46" s="123" t="n"/>
      <c r="C46" s="125" t="n"/>
      <c r="D46" s="125" t="n"/>
      <c r="E46" s="125" t="n"/>
      <c r="F46" s="125" t="n"/>
      <c r="G46" s="125" t="n"/>
      <c r="H46" s="125" t="n"/>
      <c r="I46" s="125" t="n"/>
      <c r="J46" s="125" t="n"/>
      <c r="K46" s="125" t="n"/>
      <c r="L46" s="125" t="n"/>
      <c r="M46" s="125" t="n"/>
      <c r="N46" s="125" t="n"/>
      <c r="O46" s="108" t="n"/>
      <c r="P46" s="7" t="n"/>
      <c r="Q46" s="109" t="n"/>
    </row>
    <row r="47">
      <c r="B47" s="105">
        <f>IF(ISBLANK(B14), "Product 6", B14)</f>
        <v/>
      </c>
      <c r="C47" s="126" t="n"/>
      <c r="D47" s="126" t="n"/>
      <c r="E47" s="126" t="n"/>
      <c r="F47" s="126" t="n"/>
      <c r="G47" s="126" t="n"/>
      <c r="H47" s="126" t="n"/>
      <c r="I47" s="126" t="n"/>
      <c r="J47" s="126" t="n"/>
      <c r="K47" s="126" t="n"/>
      <c r="L47" s="126" t="n"/>
      <c r="M47" s="126" t="n"/>
      <c r="N47" s="126" t="n"/>
      <c r="O47" s="119" t="n"/>
      <c r="P47" s="7" t="n"/>
      <c r="Q47" s="109" t="n"/>
    </row>
    <row r="48">
      <c r="B48" s="107">
        <f>IF(ISBLANK(C14), "Units Sold", Unit6&amp; " Sold")</f>
        <v/>
      </c>
      <c r="C48" s="139" t="n"/>
      <c r="D48" s="138">
        <f>C48+C48*$C$3</f>
        <v/>
      </c>
      <c r="E48" s="138">
        <f>D48+D48*$C$3</f>
        <v/>
      </c>
      <c r="F48" s="138">
        <f>E48+E48*$D$3</f>
        <v/>
      </c>
      <c r="G48" s="138">
        <f>F48+F48*$D$3</f>
        <v/>
      </c>
      <c r="H48" s="138">
        <f>G48+G48*$D$3</f>
        <v/>
      </c>
      <c r="I48" s="138">
        <f>H48+H48*$E$3</f>
        <v/>
      </c>
      <c r="J48" s="138">
        <f>I48+I48*$E$3</f>
        <v/>
      </c>
      <c r="K48" s="138">
        <f>J48+J48*$E$3</f>
        <v/>
      </c>
      <c r="L48" s="138">
        <f>K48+K48*$F$3</f>
        <v/>
      </c>
      <c r="M48" s="138">
        <f>L48+L48*$F$3</f>
        <v/>
      </c>
      <c r="N48" s="138">
        <f>M48+M48*$F$3</f>
        <v/>
      </c>
      <c r="O48" s="297">
        <f>SUM(C48:N48)</f>
        <v/>
      </c>
      <c r="P48" s="7" t="n"/>
      <c r="Q48" s="289">
        <f>IF($O$52=0,0,O48/$O$52)</f>
        <v/>
      </c>
    </row>
    <row r="49">
      <c r="B49" s="120" t="inlineStr">
        <is>
          <t>Total Sales</t>
        </is>
      </c>
      <c r="C49" s="295">
        <f>$D$14*C48</f>
        <v/>
      </c>
      <c r="D49" s="295">
        <f>$D$14*D48</f>
        <v/>
      </c>
      <c r="E49" s="295">
        <f>$D$14*E48</f>
        <v/>
      </c>
      <c r="F49" s="295">
        <f>$D$14*F48</f>
        <v/>
      </c>
      <c r="G49" s="295">
        <f>$D$14*G48</f>
        <v/>
      </c>
      <c r="H49" s="295">
        <f>$D$14*H48</f>
        <v/>
      </c>
      <c r="I49" s="295">
        <f>$D$14*I48</f>
        <v/>
      </c>
      <c r="J49" s="295">
        <f>$D$14*J48</f>
        <v/>
      </c>
      <c r="K49" s="295">
        <f>$D$14*K48</f>
        <v/>
      </c>
      <c r="L49" s="295">
        <f>$D$14*L48</f>
        <v/>
      </c>
      <c r="M49" s="295">
        <f>$D$14*M48</f>
        <v/>
      </c>
      <c r="N49" s="295">
        <f>$D$14*N48</f>
        <v/>
      </c>
      <c r="O49" s="111">
        <f>SUM(C49:N49)</f>
        <v/>
      </c>
      <c r="P49" s="290">
        <f>(P50+P51)</f>
        <v/>
      </c>
      <c r="Q49" s="289">
        <f>IF($O$53=0,0,O49/$O$53)</f>
        <v/>
      </c>
    </row>
    <row r="50">
      <c r="B50" s="127" t="inlineStr">
        <is>
          <t>Total COGS</t>
        </is>
      </c>
      <c r="C50" s="295">
        <f>$E$14*C48</f>
        <v/>
      </c>
      <c r="D50" s="295">
        <f>$E$14*D48</f>
        <v/>
      </c>
      <c r="E50" s="295">
        <f>$E$14*E48</f>
        <v/>
      </c>
      <c r="F50" s="295">
        <f>$E$14*F48</f>
        <v/>
      </c>
      <c r="G50" s="295">
        <f>$E$14*G48</f>
        <v/>
      </c>
      <c r="H50" s="295">
        <f>$E$14*H48</f>
        <v/>
      </c>
      <c r="I50" s="295">
        <f>$E$14*I48</f>
        <v/>
      </c>
      <c r="J50" s="295">
        <f>$E$14*J48</f>
        <v/>
      </c>
      <c r="K50" s="295">
        <f>$E$14*K48</f>
        <v/>
      </c>
      <c r="L50" s="295">
        <f>$E$14*L48</f>
        <v/>
      </c>
      <c r="M50" s="295">
        <f>$E$14*M48</f>
        <v/>
      </c>
      <c r="N50" s="295">
        <f>$E$14*N48</f>
        <v/>
      </c>
      <c r="O50" s="111">
        <f>SUM(C50:N50)</f>
        <v/>
      </c>
      <c r="P50" s="290">
        <f>IF(O49=0,0,O50/O49)</f>
        <v/>
      </c>
      <c r="Q50" s="289">
        <f>IF($O$54=0,0,O50/$O$54)</f>
        <v/>
      </c>
    </row>
    <row r="51">
      <c r="B51" s="110" t="inlineStr">
        <is>
          <t>Margin</t>
        </is>
      </c>
      <c r="C51" s="294">
        <f>C49-C50</f>
        <v/>
      </c>
      <c r="D51" s="294">
        <f>D49-D50</f>
        <v/>
      </c>
      <c r="E51" s="294">
        <f>E49-E50</f>
        <v/>
      </c>
      <c r="F51" s="294">
        <f>F49-F50</f>
        <v/>
      </c>
      <c r="G51" s="294">
        <f>G49-G50</f>
        <v/>
      </c>
      <c r="H51" s="294">
        <f>H49-H50</f>
        <v/>
      </c>
      <c r="I51" s="294">
        <f>I49-I50</f>
        <v/>
      </c>
      <c r="J51" s="294">
        <f>J49-J50</f>
        <v/>
      </c>
      <c r="K51" s="294">
        <f>K49-K50</f>
        <v/>
      </c>
      <c r="L51" s="294">
        <f>L49-L50</f>
        <v/>
      </c>
      <c r="M51" s="294">
        <f>M49-M50</f>
        <v/>
      </c>
      <c r="N51" s="294">
        <f>N49-N50</f>
        <v/>
      </c>
      <c r="O51" s="111">
        <f>SUM(C51:N51)</f>
        <v/>
      </c>
      <c r="P51" s="290">
        <f>IF(O49=0,0,O51/O49)</f>
        <v/>
      </c>
      <c r="Q51" s="289">
        <f>IF($O$55=0,0,O51/$O$55)</f>
        <v/>
      </c>
    </row>
    <row r="52">
      <c r="B52" s="128" t="inlineStr">
        <is>
          <t>Total Units Sold</t>
        </is>
      </c>
      <c r="C52" s="296">
        <f>C18+C24+C30+C36+C42+C48</f>
        <v/>
      </c>
      <c r="D52" s="296">
        <f>D18+D24+D30+D36+D42+D48</f>
        <v/>
      </c>
      <c r="E52" s="296">
        <f>E18+E24+E30+E36+E42+E48</f>
        <v/>
      </c>
      <c r="F52" s="296">
        <f>F18+F24+F30+F36+F42+F48</f>
        <v/>
      </c>
      <c r="G52" s="296">
        <f>G18+G24+G30+G36+G42+G48</f>
        <v/>
      </c>
      <c r="H52" s="296">
        <f>H18+H24+H30+H36+H42+H48</f>
        <v/>
      </c>
      <c r="I52" s="296">
        <f>I18+I24+I30+I36+I42+I48</f>
        <v/>
      </c>
      <c r="J52" s="296">
        <f>J18+J24+J30+J36+J42+J48</f>
        <v/>
      </c>
      <c r="K52" s="296">
        <f>K18+K24+K30+K36+K42+K48</f>
        <v/>
      </c>
      <c r="L52" s="296">
        <f>L18+L24+L30+L36+L42+L48</f>
        <v/>
      </c>
      <c r="M52" s="296">
        <f>M18+M24+M30+M36+M42+M48</f>
        <v/>
      </c>
      <c r="N52" s="296">
        <f>N18+N24+N30+N36+N42+N48</f>
        <v/>
      </c>
      <c r="O52" s="297">
        <f>SUM(C52:N52)</f>
        <v/>
      </c>
      <c r="P52" s="7" t="n"/>
      <c r="Q52" s="109" t="n"/>
    </row>
    <row r="53">
      <c r="B53" s="129" t="inlineStr">
        <is>
          <t>Total Sales</t>
        </is>
      </c>
      <c r="C53" s="130">
        <f>C19+C25+C31+C37+C43+C49</f>
        <v/>
      </c>
      <c r="D53" s="130">
        <f>D19+D25+D31+D37+D43+D49</f>
        <v/>
      </c>
      <c r="E53" s="130">
        <f>E19+E25+E31+E37+E43+E49</f>
        <v/>
      </c>
      <c r="F53" s="130">
        <f>F19+F25+F31+F37+F43+F49</f>
        <v/>
      </c>
      <c r="G53" s="130">
        <f>G19+G25+G31+G37+G43+G49</f>
        <v/>
      </c>
      <c r="H53" s="130">
        <f>H19+H25+H31+H37+H43+H49</f>
        <v/>
      </c>
      <c r="I53" s="130">
        <f>I19+I25+I31+I37+I43+I49</f>
        <v/>
      </c>
      <c r="J53" s="130">
        <f>J19+J25+J31+J37+J43+J49</f>
        <v/>
      </c>
      <c r="K53" s="130">
        <f>K19+K25+K31+K37+K43+K49</f>
        <v/>
      </c>
      <c r="L53" s="130">
        <f>L19+L25+L31+L37+L43+L49</f>
        <v/>
      </c>
      <c r="M53" s="130">
        <f>M19+M25+M31+M37+M43+M49</f>
        <v/>
      </c>
      <c r="N53" s="130">
        <f>N19+N25+N31+N37+N43+N49</f>
        <v/>
      </c>
      <c r="O53" s="111">
        <f>SUM(C53:N53)</f>
        <v/>
      </c>
      <c r="P53" s="7" t="n"/>
      <c r="Q53" s="109" t="n"/>
    </row>
    <row r="54">
      <c r="B54" s="106" t="inlineStr">
        <is>
          <t>Total Cost of Goods Sold</t>
        </is>
      </c>
      <c r="C54" s="131">
        <f>C20+C26+C32+C38+C44+C50</f>
        <v/>
      </c>
      <c r="D54" s="131">
        <f>D20+D26+D32+D38+D44+D50</f>
        <v/>
      </c>
      <c r="E54" s="131">
        <f>E20+E26+E32+E38+E44+E50</f>
        <v/>
      </c>
      <c r="F54" s="131">
        <f>F20+F26+F32+F38+F44+F50</f>
        <v/>
      </c>
      <c r="G54" s="131">
        <f>G20+G26+G32+G38+G44+G50</f>
        <v/>
      </c>
      <c r="H54" s="131">
        <f>H20+H26+H32+H38+H44+H50</f>
        <v/>
      </c>
      <c r="I54" s="131">
        <f>I20+I26+I32+I38+I44+I50</f>
        <v/>
      </c>
      <c r="J54" s="131">
        <f>J20+J26+J32+J38+J44+J50</f>
        <v/>
      </c>
      <c r="K54" s="131">
        <f>K20+K26+K32+K38+K44+K50</f>
        <v/>
      </c>
      <c r="L54" s="131">
        <f>L20+L26+L32+L38+L44+L50</f>
        <v/>
      </c>
      <c r="M54" s="131">
        <f>M20+M26+M32+M38+M44+M50</f>
        <v/>
      </c>
      <c r="N54" s="131">
        <f>N20+N26+N32+N38+N44+N50</f>
        <v/>
      </c>
      <c r="O54" s="111">
        <f>SUM(C54:N54)</f>
        <v/>
      </c>
      <c r="P54" s="7" t="n"/>
      <c r="Q54" s="109" t="n"/>
    </row>
    <row r="55">
      <c r="B55" s="106" t="inlineStr">
        <is>
          <t>Total Margin</t>
        </is>
      </c>
      <c r="C55" s="132">
        <f>C53-C54</f>
        <v/>
      </c>
      <c r="D55" s="132">
        <f>D53-D54</f>
        <v/>
      </c>
      <c r="E55" s="132">
        <f>E53-E54</f>
        <v/>
      </c>
      <c r="F55" s="132">
        <f>F53-F54</f>
        <v/>
      </c>
      <c r="G55" s="132">
        <f>G53-G54</f>
        <v/>
      </c>
      <c r="H55" s="132">
        <f>H53-H54</f>
        <v/>
      </c>
      <c r="I55" s="132">
        <f>I53-I54</f>
        <v/>
      </c>
      <c r="J55" s="132">
        <f>J53-J54</f>
        <v/>
      </c>
      <c r="K55" s="132">
        <f>K53-K54</f>
        <v/>
      </c>
      <c r="L55" s="132">
        <f>L53-L54</f>
        <v/>
      </c>
      <c r="M55" s="132">
        <f>M53-M54</f>
        <v/>
      </c>
      <c r="N55" s="132">
        <f>N53-N54</f>
        <v/>
      </c>
      <c r="O55" s="121">
        <f>O21+O27+O33+O39+O45+O51</f>
        <v/>
      </c>
      <c r="P55" s="7" t="n"/>
      <c r="Q55" s="109" t="n"/>
    </row>
    <row r="60">
      <c r="B60" s="6" t="n"/>
    </row>
  </sheetData>
  <sheetProtection selectLockedCells="0" selectUnlockedCells="0" algorithmName="SHA-512" sheet="1" objects="0" insertRows="1" insertHyperlinks="1" autoFilter="1" scenarios="0" formatColumns="0" deleteColumns="1" insertColumns="1" pivotTables="1" deleteRows="1" formatCells="1" saltValue="uPZFtMB/AgzCSC7U2ZROmA==" formatRows="0" sort="1" spinCount="100000" hashValue="yHOcYcq+gsycrEAWN8bapvTNWD2N2ispry18+IFdwnkM9lrwAFpgU/Nr21mZ2eGnECUJ+XIKC9rS43i7v/f78g=="/>
  <mergeCells count="4">
    <mergeCell ref="B7:E7"/>
    <mergeCell ref="B2:C2"/>
    <mergeCell ref="C5:D5"/>
    <mergeCell ref="C15:N15"/>
  </mergeCells>
  <conditionalFormatting sqref="C18">
    <cfRule type="containsBlanks" priority="41" dxfId="0" stopIfTrue="1">
      <formula>LEN(TRIM(C18))=0</formula>
    </cfRule>
  </conditionalFormatting>
  <conditionalFormatting sqref="C24">
    <cfRule type="containsBlanks" priority="42" dxfId="0" stopIfTrue="1">
      <formula>LEN(TRIM(C24))=0</formula>
    </cfRule>
  </conditionalFormatting>
  <conditionalFormatting sqref="C30 C36 C42 C48">
    <cfRule type="containsBlanks" priority="43" dxfId="0" stopIfTrue="1">
      <formula>LEN(TRIM(C30))=0</formula>
    </cfRule>
  </conditionalFormatting>
  <conditionalFormatting sqref="B9:E14">
    <cfRule type="containsBlanks" priority="40" dxfId="0">
      <formula>LEN(TRIM(B9))=0</formula>
    </cfRule>
  </conditionalFormatting>
  <conditionalFormatting sqref="D18:N18">
    <cfRule type="containsBlanks" priority="6" dxfId="0" stopIfTrue="1">
      <formula>LEN(TRIM(D18))=0</formula>
    </cfRule>
  </conditionalFormatting>
  <conditionalFormatting sqref="D30:N30">
    <cfRule type="containsBlanks" priority="5" dxfId="0" stopIfTrue="1">
      <formula>LEN(TRIM(D30))=0</formula>
    </cfRule>
  </conditionalFormatting>
  <conditionalFormatting sqref="D24:N24">
    <cfRule type="containsBlanks" priority="4" dxfId="0" stopIfTrue="1">
      <formula>LEN(TRIM(D24))=0</formula>
    </cfRule>
  </conditionalFormatting>
  <conditionalFormatting sqref="D36:N36">
    <cfRule type="containsBlanks" priority="3" dxfId="0" stopIfTrue="1">
      <formula>LEN(TRIM(D36))=0</formula>
    </cfRule>
  </conditionalFormatting>
  <conditionalFormatting sqref="D42:N42">
    <cfRule type="containsBlanks" priority="2" dxfId="0" stopIfTrue="1">
      <formula>LEN(TRIM(D42))=0</formula>
    </cfRule>
  </conditionalFormatting>
  <conditionalFormatting sqref="D48:N48">
    <cfRule type="containsBlanks" priority="1" dxfId="0" stopIfTrue="1">
      <formula>LEN(TRIM(D48))=0</formula>
    </cfRule>
  </conditionalFormatting>
  <hyperlinks>
    <hyperlink ref="E8" location="'COGS Calculator'!A1" display="COGS Per Unit"/>
  </hyperlinks>
  <printOptions horizontalCentered="1"/>
  <pageMargins left="0.25" right="0.25" top="0.75" bottom="0.75" header="0.3" footer="0.3"/>
  <pageSetup orientation="landscape" scale="62"/>
  <headerFooter scaleWithDoc="0">
    <oddHeader>&amp;C&amp;"Gill Sans MT,Regular"&amp;12 Sales Forecst Year 1</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3">
    <tabColor rgb="FFFFC95B"/>
    <outlinePr summaryBelow="1" summaryRight="1"/>
    <pageSetUpPr fitToPage="1"/>
  </sheetPr>
  <dimension ref="A1:AF49"/>
  <sheetViews>
    <sheetView topLeftCell="B1" zoomScaleNormal="100" zoomScalePageLayoutView="50" workbookViewId="0">
      <selection activeCell="J14" sqref="J14"/>
    </sheetView>
  </sheetViews>
  <sheetFormatPr baseColWidth="8" defaultColWidth="8.83984375" defaultRowHeight="13.5"/>
  <cols>
    <col width="26.26171875" bestFit="1" customWidth="1" style="46" min="1" max="1"/>
    <col width="30.68359375" bestFit="1" customWidth="1" style="46" min="2" max="2"/>
    <col width="9.26171875" customWidth="1" style="46" min="3" max="3"/>
    <col width="10.26171875" bestFit="1" customWidth="1" style="46" min="4" max="4"/>
    <col width="9.26171875" customWidth="1" style="46" min="5" max="5"/>
    <col width="9" bestFit="1" customWidth="1" style="46" min="6" max="6"/>
    <col width="9.41796875" customWidth="1" style="46" min="7" max="7"/>
    <col width="9" bestFit="1" customWidth="1" style="46" min="8" max="8"/>
    <col width="9.26171875" customWidth="1" style="46" min="9" max="9"/>
    <col width="9" customWidth="1" style="46" min="10" max="10"/>
    <col width="11.83984375" bestFit="1" customWidth="1" style="46" min="11" max="11"/>
    <col width="9" bestFit="1" customWidth="1" style="46" min="12" max="12"/>
    <col width="11.26171875" bestFit="1" customWidth="1" style="46" min="13" max="14"/>
    <col width="14.26171875" bestFit="1" customWidth="1" style="46" min="15" max="15"/>
    <col width="13" customWidth="1" style="46" min="16" max="16"/>
    <col width="11.26171875" bestFit="1" customWidth="1" style="46" min="17" max="17"/>
    <col width="8.83984375" customWidth="1" style="46" min="18" max="18"/>
    <col width="10.26171875" bestFit="1" customWidth="1" style="46" min="19" max="19"/>
    <col width="8.83984375" customWidth="1" style="46" min="20" max="25"/>
    <col width="11.83984375" bestFit="1" customWidth="1" style="46" min="26" max="26"/>
    <col width="8.83984375" customWidth="1" style="46" min="27" max="27"/>
    <col width="11.26171875" bestFit="1" customWidth="1" style="46" min="28" max="29"/>
    <col width="11" bestFit="1" customWidth="1" style="46" min="30" max="30"/>
    <col width="13" bestFit="1" customWidth="1" style="46" min="31" max="31"/>
    <col width="12.68359375" bestFit="1" customWidth="1" style="46" min="32" max="32"/>
    <col width="8.83984375" customWidth="1" style="46" min="33" max="16384"/>
  </cols>
  <sheetData>
    <row r="1">
      <c r="G1" s="136" t="n"/>
    </row>
    <row r="2">
      <c r="B2" s="501" t="inlineStr">
        <is>
          <t>Sales Forecast Year 1-3</t>
        </is>
      </c>
    </row>
    <row r="3" ht="21.75" customHeight="1">
      <c r="B3" s="56" t="n"/>
      <c r="C3" s="56" t="n"/>
    </row>
    <row r="4" ht="21.75" customHeight="1">
      <c r="B4" s="501" t="inlineStr">
        <is>
          <t xml:space="preserve">Prepared by: </t>
        </is>
      </c>
      <c r="C4" s="501" t="inlineStr">
        <is>
          <t>Company Name:</t>
        </is>
      </c>
    </row>
    <row r="5" ht="21.75" customHeight="1">
      <c r="B5" s="5">
        <f>IF(ISBLANK(Directions!C10), "Owner", Directions!C10)</f>
        <v/>
      </c>
      <c r="C5" s="502">
        <f>IF(ISBLANK(Directions!D10), "Company 1", Directions!D10)</f>
        <v/>
      </c>
      <c r="G5" s="136" t="n"/>
    </row>
    <row r="6" ht="21.75" customHeight="1">
      <c r="B6" s="56" t="n"/>
      <c r="C6" s="56" t="n"/>
      <c r="G6" s="136" t="n"/>
    </row>
    <row r="7">
      <c r="B7" s="137" t="inlineStr">
        <is>
          <t xml:space="preserve">Monthly Growth Rate Year 2  </t>
        </is>
      </c>
      <c r="C7" s="470" t="n">
        <v>0.03</v>
      </c>
      <c r="D7" s="103" t="n"/>
      <c r="G7" s="136" t="n"/>
    </row>
    <row r="8">
      <c r="B8" s="137" t="inlineStr">
        <is>
          <t xml:space="preserve">Monthly  Growth  Rate Year  3  </t>
        </is>
      </c>
      <c r="C8" s="470" t="n">
        <v>0.02</v>
      </c>
      <c r="D8" s="103" t="n"/>
      <c r="F8" s="136" t="n"/>
      <c r="G8" s="136" t="n"/>
    </row>
    <row r="9">
      <c r="C9" s="136" t="n"/>
      <c r="D9" s="136" t="n"/>
      <c r="E9" s="136" t="n"/>
      <c r="F9" s="136" t="n"/>
      <c r="G9" s="136" t="n"/>
      <c r="H9" s="136" t="n"/>
      <c r="I9" s="136" t="n"/>
      <c r="J9" s="136" t="n"/>
      <c r="K9" s="136" t="n"/>
      <c r="L9" s="136" t="n"/>
      <c r="M9" s="136" t="n"/>
    </row>
    <row r="10" ht="27.3" customHeight="1" thickBot="1">
      <c r="A10" s="506" t="inlineStr">
        <is>
          <t>Product Lines</t>
        </is>
      </c>
      <c r="B10" s="506" t="inlineStr">
        <is>
          <t>Year 1 Totals</t>
        </is>
      </c>
      <c r="C10" s="506">
        <f>'2a-PayrollYear1'!F7</f>
        <v/>
      </c>
      <c r="D10" s="506">
        <f>'2a-PayrollYear1'!G7</f>
        <v/>
      </c>
      <c r="E10" s="506">
        <f>'2a-PayrollYear1'!H7</f>
        <v/>
      </c>
      <c r="F10" s="506">
        <f>'2a-PayrollYear1'!I7</f>
        <v/>
      </c>
      <c r="G10" s="506">
        <f>'2a-PayrollYear1'!J7</f>
        <v/>
      </c>
      <c r="H10" s="506">
        <f>'2a-PayrollYear1'!K7</f>
        <v/>
      </c>
      <c r="I10" s="506">
        <f>'2a-PayrollYear1'!L7</f>
        <v/>
      </c>
      <c r="J10" s="506">
        <f>'2a-PayrollYear1'!M7</f>
        <v/>
      </c>
      <c r="K10" s="506">
        <f>'2a-PayrollYear1'!N7</f>
        <v/>
      </c>
      <c r="L10" s="506">
        <f>'2a-PayrollYear1'!O7</f>
        <v/>
      </c>
      <c r="M10" s="506">
        <f>'2a-PayrollYear1'!P7</f>
        <v/>
      </c>
      <c r="N10" s="506">
        <f>'2a-PayrollYear1'!Q7</f>
        <v/>
      </c>
      <c r="O10" s="506" t="inlineStr">
        <is>
          <t>Year 2 Totals</t>
        </is>
      </c>
      <c r="P10" s="506" t="inlineStr">
        <is>
          <t>Category Breakdown</t>
        </is>
      </c>
      <c r="Q10" s="506" t="inlineStr">
        <is>
          <t>Category / Total</t>
        </is>
      </c>
      <c r="R10" s="506">
        <f>'2a-PayrollYear1'!F7</f>
        <v/>
      </c>
      <c r="S10" s="506">
        <f>'2a-PayrollYear1'!G7</f>
        <v/>
      </c>
      <c r="T10" s="506">
        <f>'2a-PayrollYear1'!H7</f>
        <v/>
      </c>
      <c r="U10" s="506">
        <f>'2a-PayrollYear1'!I7</f>
        <v/>
      </c>
      <c r="V10" s="506">
        <f>'2a-PayrollYear1'!J7</f>
        <v/>
      </c>
      <c r="W10" s="506">
        <f>'2a-PayrollYear1'!K7</f>
        <v/>
      </c>
      <c r="X10" s="506">
        <f>'2a-PayrollYear1'!L7</f>
        <v/>
      </c>
      <c r="Y10" s="506">
        <f>'2a-PayrollYear1'!M7</f>
        <v/>
      </c>
      <c r="Z10" s="506">
        <f>'2a-PayrollYear1'!N7</f>
        <v/>
      </c>
      <c r="AA10" s="506">
        <f>'2a-PayrollYear1'!O7</f>
        <v/>
      </c>
      <c r="AB10" s="506">
        <f>'2a-PayrollYear1'!P7</f>
        <v/>
      </c>
      <c r="AC10" s="506">
        <f>'2a-PayrollYear1'!Q7</f>
        <v/>
      </c>
      <c r="AD10" s="506" t="inlineStr">
        <is>
          <t>Year 3 Totals</t>
        </is>
      </c>
      <c r="AE10" s="506" t="inlineStr">
        <is>
          <t>Category Breakdown</t>
        </is>
      </c>
      <c r="AF10" s="506" t="inlineStr">
        <is>
          <t>Category / Total</t>
        </is>
      </c>
    </row>
    <row r="11" ht="13.8" customHeight="1" thickTop="1">
      <c r="A11" s="117">
        <f>'3a-SalesForecastYear1'!B17</f>
        <v/>
      </c>
      <c r="B11" s="117" t="n"/>
      <c r="C11" s="331" t="n"/>
      <c r="D11" s="331" t="n"/>
      <c r="E11" s="331" t="n"/>
      <c r="F11" s="331" t="n"/>
      <c r="G11" s="331" t="n"/>
      <c r="H11" s="331" t="n"/>
      <c r="I11" s="331" t="n"/>
      <c r="J11" s="331" t="n"/>
      <c r="K11" s="331" t="n"/>
      <c r="L11" s="331" t="n"/>
      <c r="M11" s="331" t="n"/>
      <c r="N11" s="331" t="n"/>
      <c r="O11" s="119" t="n"/>
      <c r="P11" s="322" t="n"/>
      <c r="Q11" s="119" t="n"/>
      <c r="R11" s="331" t="n"/>
      <c r="S11" s="331" t="n"/>
      <c r="T11" s="331" t="n"/>
      <c r="U11" s="331" t="n"/>
      <c r="V11" s="331" t="n"/>
      <c r="W11" s="331" t="n"/>
      <c r="X11" s="331" t="n"/>
      <c r="Y11" s="331" t="n"/>
      <c r="Z11" s="331" t="n"/>
      <c r="AA11" s="331" t="n"/>
      <c r="AB11" s="331" t="n"/>
      <c r="AC11" s="331" t="n"/>
      <c r="AD11" s="119" t="n"/>
      <c r="AE11" s="322" t="n"/>
      <c r="AF11" s="119" t="n"/>
    </row>
    <row r="12">
      <c r="A12" s="107">
        <f>Unit1&amp; " Sold"</f>
        <v/>
      </c>
      <c r="B12" s="107">
        <f>Unit1_Annual</f>
        <v/>
      </c>
      <c r="C12" s="279">
        <f>'3a-SalesForecastYear1'!N18</f>
        <v/>
      </c>
      <c r="D12" s="279">
        <f>C12+C12*$C$7</f>
        <v/>
      </c>
      <c r="E12" s="279">
        <f>D12+D12*$C$7</f>
        <v/>
      </c>
      <c r="F12" s="279">
        <f>E12+E12*$C$7</f>
        <v/>
      </c>
      <c r="G12" s="279">
        <f>F12+F12*$C$7</f>
        <v/>
      </c>
      <c r="H12" s="279">
        <f>G12+G12*$C$7</f>
        <v/>
      </c>
      <c r="I12" s="279">
        <f>H12+H12*$C$7</f>
        <v/>
      </c>
      <c r="J12" s="279">
        <f>I12+I12*$C$7</f>
        <v/>
      </c>
      <c r="K12" s="279">
        <f>J12+J12*$C$7</f>
        <v/>
      </c>
      <c r="L12" s="279">
        <f>K12+K12*$C$7</f>
        <v/>
      </c>
      <c r="M12" s="279">
        <f>L12+L12*$C$7</f>
        <v/>
      </c>
      <c r="N12" s="279">
        <f>M12+M12*$C$7</f>
        <v/>
      </c>
      <c r="O12" s="297">
        <f>SUM(C12:N12)</f>
        <v/>
      </c>
      <c r="P12" s="7" t="n"/>
      <c r="Q12" s="289">
        <f>IF($O$46=0,0,O12/$O$46)</f>
        <v/>
      </c>
      <c r="R12" s="279">
        <f>N12</f>
        <v/>
      </c>
      <c r="S12" s="279">
        <f>R12+R12*$C$8</f>
        <v/>
      </c>
      <c r="T12" s="279">
        <f>S12+S12*$C$8</f>
        <v/>
      </c>
      <c r="U12" s="279">
        <f>T12+T12*$C$8</f>
        <v/>
      </c>
      <c r="V12" s="279">
        <f>U12+U12*$C$8</f>
        <v/>
      </c>
      <c r="W12" s="279">
        <f>V12+V12*$C$8</f>
        <v/>
      </c>
      <c r="X12" s="279">
        <f>W12+W12*$C$8</f>
        <v/>
      </c>
      <c r="Y12" s="279">
        <f>X12+X12*$C$8</f>
        <v/>
      </c>
      <c r="Z12" s="279">
        <f>Y12+Y12*$C$8</f>
        <v/>
      </c>
      <c r="AA12" s="279">
        <f>Z12+Z12*$C$8</f>
        <v/>
      </c>
      <c r="AB12" s="279">
        <f>AA12+AA12*$C$8</f>
        <v/>
      </c>
      <c r="AC12" s="279">
        <f>AB12+AB12*$C$8</f>
        <v/>
      </c>
      <c r="AD12" s="297">
        <f>SUM(R12:AC12)</f>
        <v/>
      </c>
      <c r="AE12" s="7" t="n"/>
      <c r="AF12" s="289">
        <f>IF($AD$46=0,0,AD12/$AD$46)</f>
        <v/>
      </c>
    </row>
    <row r="13">
      <c r="A13" s="110" t="inlineStr">
        <is>
          <t>Total Sales</t>
        </is>
      </c>
      <c r="B13" s="274">
        <f>Category1_Annual_Sales</f>
        <v/>
      </c>
      <c r="C13" s="281">
        <f>+C12*'3a-SalesForecastYear1'!$D$9</f>
        <v/>
      </c>
      <c r="D13" s="281">
        <f>+D12*'3a-SalesForecastYear1'!$D$9</f>
        <v/>
      </c>
      <c r="E13" s="281">
        <f>+E12*'3a-SalesForecastYear1'!$D$9</f>
        <v/>
      </c>
      <c r="F13" s="281">
        <f>+F12*'3a-SalesForecastYear1'!$D$9</f>
        <v/>
      </c>
      <c r="G13" s="281">
        <f>+G12*'3a-SalesForecastYear1'!$D$9</f>
        <v/>
      </c>
      <c r="H13" s="281">
        <f>+H12*'3a-SalesForecastYear1'!$D$9</f>
        <v/>
      </c>
      <c r="I13" s="281">
        <f>+I12*'3a-SalesForecastYear1'!$D$9</f>
        <v/>
      </c>
      <c r="J13" s="281">
        <f>+J12*'3a-SalesForecastYear1'!$D$9</f>
        <v/>
      </c>
      <c r="K13" s="281">
        <f>+K12*'3a-SalesForecastYear1'!$D$9</f>
        <v/>
      </c>
      <c r="L13" s="281">
        <f>+L12*'3a-SalesForecastYear1'!$D$9</f>
        <v/>
      </c>
      <c r="M13" s="281">
        <f>+M12*'3a-SalesForecastYear1'!$D$9</f>
        <v/>
      </c>
      <c r="N13" s="281">
        <f>+N12*'3a-SalesForecastYear1'!$D$9</f>
        <v/>
      </c>
      <c r="O13" s="111">
        <f>SUM(C13:N13)</f>
        <v/>
      </c>
      <c r="P13" s="290">
        <f>(P14+P15)</f>
        <v/>
      </c>
      <c r="Q13" s="289">
        <f>IF($O$47=0,0,O13/$O$47)</f>
        <v/>
      </c>
      <c r="R13" s="281">
        <f>+R12*'3a-SalesForecastYear1'!$D$9</f>
        <v/>
      </c>
      <c r="S13" s="281">
        <f>+S12*'3a-SalesForecastYear1'!$D$9</f>
        <v/>
      </c>
      <c r="T13" s="281">
        <f>+T12*'3a-SalesForecastYear1'!$D$9</f>
        <v/>
      </c>
      <c r="U13" s="281">
        <f>+U12*'3a-SalesForecastYear1'!$D$9</f>
        <v/>
      </c>
      <c r="V13" s="281">
        <f>+V12*'3a-SalesForecastYear1'!$D$9</f>
        <v/>
      </c>
      <c r="W13" s="281">
        <f>+W12*'3a-SalesForecastYear1'!$D$9</f>
        <v/>
      </c>
      <c r="X13" s="281">
        <f>+X12*'3a-SalesForecastYear1'!$D$9</f>
        <v/>
      </c>
      <c r="Y13" s="281">
        <f>+Y12*'3a-SalesForecastYear1'!$D$9</f>
        <v/>
      </c>
      <c r="Z13" s="281">
        <f>+Z12*'3a-SalesForecastYear1'!$D$9</f>
        <v/>
      </c>
      <c r="AA13" s="281">
        <f>+AA12*'3a-SalesForecastYear1'!$D$9</f>
        <v/>
      </c>
      <c r="AB13" s="281">
        <f>+AB12*'3a-SalesForecastYear1'!$D$9</f>
        <v/>
      </c>
      <c r="AC13" s="281">
        <f>+AC12*'3a-SalesForecastYear1'!$D$9</f>
        <v/>
      </c>
      <c r="AD13" s="111">
        <f>SUM(R13:AC13)</f>
        <v/>
      </c>
      <c r="AE13" s="290">
        <f>(AE14+AE15)</f>
        <v/>
      </c>
      <c r="AF13" s="289">
        <f>IF($AD$47=0,0,AD13/$AD$47)</f>
        <v/>
      </c>
    </row>
    <row r="14">
      <c r="A14" s="110" t="inlineStr">
        <is>
          <t>Total COGS</t>
        </is>
      </c>
      <c r="B14" s="274">
        <f>'3a-SalesForecastYear1'!O20</f>
        <v/>
      </c>
      <c r="C14" s="281">
        <f>+C12*'3a-SalesForecastYear1'!$E$9</f>
        <v/>
      </c>
      <c r="D14" s="281">
        <f>+D12*'3a-SalesForecastYear1'!$E$9</f>
        <v/>
      </c>
      <c r="E14" s="281">
        <f>+E12*'3a-SalesForecastYear1'!$E$9</f>
        <v/>
      </c>
      <c r="F14" s="281">
        <f>+F12*'3a-SalesForecastYear1'!$E$9</f>
        <v/>
      </c>
      <c r="G14" s="281">
        <f>+G12*'3a-SalesForecastYear1'!$E$9</f>
        <v/>
      </c>
      <c r="H14" s="281">
        <f>+H12*'3a-SalesForecastYear1'!$E$9</f>
        <v/>
      </c>
      <c r="I14" s="281">
        <f>+I12*'3a-SalesForecastYear1'!$E$9</f>
        <v/>
      </c>
      <c r="J14" s="281">
        <f>+J12*'3a-SalesForecastYear1'!$E$9</f>
        <v/>
      </c>
      <c r="K14" s="281">
        <f>+K12*'3a-SalesForecastYear1'!$E$9</f>
        <v/>
      </c>
      <c r="L14" s="281">
        <f>+L12*'3a-SalesForecastYear1'!$E$9</f>
        <v/>
      </c>
      <c r="M14" s="281">
        <f>+M12*'3a-SalesForecastYear1'!$E$9</f>
        <v/>
      </c>
      <c r="N14" s="281">
        <f>+N12*'3a-SalesForecastYear1'!$E$9</f>
        <v/>
      </c>
      <c r="O14" s="111">
        <f>SUM(C14:N14)</f>
        <v/>
      </c>
      <c r="P14" s="290">
        <f>IF(O13=0,0,O14/O13)</f>
        <v/>
      </c>
      <c r="Q14" s="289">
        <f>IF($O$48=0,0,O14/$O$48)</f>
        <v/>
      </c>
      <c r="R14" s="281">
        <f>+R12*'3a-SalesForecastYear1'!$E$9</f>
        <v/>
      </c>
      <c r="S14" s="281">
        <f>+S12*'3a-SalesForecastYear1'!$E$9</f>
        <v/>
      </c>
      <c r="T14" s="281">
        <f>+T12*'3a-SalesForecastYear1'!$E$9</f>
        <v/>
      </c>
      <c r="U14" s="281">
        <f>+U12*'3a-SalesForecastYear1'!$E$9</f>
        <v/>
      </c>
      <c r="V14" s="281">
        <f>+V12*'3a-SalesForecastYear1'!$E$9</f>
        <v/>
      </c>
      <c r="W14" s="281">
        <f>+W12*'3a-SalesForecastYear1'!$E$9</f>
        <v/>
      </c>
      <c r="X14" s="281">
        <f>+X12*'3a-SalesForecastYear1'!$E$9</f>
        <v/>
      </c>
      <c r="Y14" s="281">
        <f>+Y12*'3a-SalesForecastYear1'!$E$9</f>
        <v/>
      </c>
      <c r="Z14" s="281">
        <f>+Z12*'3a-SalesForecastYear1'!$E$9</f>
        <v/>
      </c>
      <c r="AA14" s="281">
        <f>+AA12*'3a-SalesForecastYear1'!$E$9</f>
        <v/>
      </c>
      <c r="AB14" s="281">
        <f>+AB12*'3a-SalesForecastYear1'!$E$9</f>
        <v/>
      </c>
      <c r="AC14" s="281">
        <f>+AC12*'3a-SalesForecastYear1'!$E$9</f>
        <v/>
      </c>
      <c r="AD14" s="111">
        <f>SUM(R14:AC14)</f>
        <v/>
      </c>
      <c r="AE14" s="290">
        <f>IF(AD13=0,0,AD14/AD13)</f>
        <v/>
      </c>
      <c r="AF14" s="289">
        <f>IF($AD$48=0,0,AD14/$AD$48)</f>
        <v/>
      </c>
    </row>
    <row r="15">
      <c r="A15" s="112" t="inlineStr">
        <is>
          <t>Total Margin</t>
        </is>
      </c>
      <c r="B15" s="274">
        <f>'3a-SalesForecastYear1'!O21</f>
        <v/>
      </c>
      <c r="C15" s="281">
        <f>C13-C14</f>
        <v/>
      </c>
      <c r="D15" s="281">
        <f>D13-D14</f>
        <v/>
      </c>
      <c r="E15" s="281">
        <f>E13-E14</f>
        <v/>
      </c>
      <c r="F15" s="281">
        <f>F13-F14</f>
        <v/>
      </c>
      <c r="G15" s="281">
        <f>G13-G14</f>
        <v/>
      </c>
      <c r="H15" s="281">
        <f>H13-H14</f>
        <v/>
      </c>
      <c r="I15" s="281">
        <f>I13-I14</f>
        <v/>
      </c>
      <c r="J15" s="281">
        <f>J13-J14</f>
        <v/>
      </c>
      <c r="K15" s="281">
        <f>K13-K14</f>
        <v/>
      </c>
      <c r="L15" s="281">
        <f>L13-L14</f>
        <v/>
      </c>
      <c r="M15" s="281">
        <f>M13-M14</f>
        <v/>
      </c>
      <c r="N15" s="281">
        <f>N13-N14</f>
        <v/>
      </c>
      <c r="O15" s="111">
        <f>SUM(C15:N15)</f>
        <v/>
      </c>
      <c r="P15" s="290">
        <f>IF(O13=0,0,O15/O13)</f>
        <v/>
      </c>
      <c r="Q15" s="289">
        <f>IF($O$49=0,0,O15/$O$49)</f>
        <v/>
      </c>
      <c r="R15" s="281">
        <f>R13-R14</f>
        <v/>
      </c>
      <c r="S15" s="281">
        <f>S13-S14</f>
        <v/>
      </c>
      <c r="T15" s="281">
        <f>T13-T14</f>
        <v/>
      </c>
      <c r="U15" s="281">
        <f>U13-U14</f>
        <v/>
      </c>
      <c r="V15" s="281">
        <f>V13-V14</f>
        <v/>
      </c>
      <c r="W15" s="281">
        <f>W13-W14</f>
        <v/>
      </c>
      <c r="X15" s="281">
        <f>X13-X14</f>
        <v/>
      </c>
      <c r="Y15" s="281">
        <f>Y13-Y14</f>
        <v/>
      </c>
      <c r="Z15" s="281">
        <f>Z13-Z14</f>
        <v/>
      </c>
      <c r="AA15" s="281">
        <f>AA13-AA14</f>
        <v/>
      </c>
      <c r="AB15" s="281">
        <f>AB13-AB14</f>
        <v/>
      </c>
      <c r="AC15" s="281">
        <f>AC13-AC14</f>
        <v/>
      </c>
      <c r="AD15" s="111">
        <f>SUM(R15:AC15)</f>
        <v/>
      </c>
      <c r="AE15" s="290">
        <f>IF(AD13=0,0,AD15/AD13)</f>
        <v/>
      </c>
      <c r="AF15" s="289">
        <f>IF($AD$49=0,0,AD15/$AD$49)</f>
        <v/>
      </c>
    </row>
    <row r="16">
      <c r="A16" s="113" t="n"/>
      <c r="B16" s="272" t="n"/>
      <c r="C16" s="114" t="n"/>
      <c r="D16" s="115" t="n"/>
      <c r="E16" s="115" t="n"/>
      <c r="F16" s="115" t="n"/>
      <c r="G16" s="115" t="n"/>
      <c r="H16" s="115" t="n"/>
      <c r="I16" s="115" t="n"/>
      <c r="J16" s="115" t="n"/>
      <c r="K16" s="115" t="n"/>
      <c r="L16" s="115" t="n"/>
      <c r="M16" s="115" t="n"/>
      <c r="N16" s="115" t="n"/>
      <c r="O16" s="116" t="n"/>
      <c r="P16" s="7" t="n"/>
      <c r="Q16" s="109" t="n"/>
      <c r="R16" s="114" t="n"/>
      <c r="S16" s="115" t="n"/>
      <c r="T16" s="115" t="n"/>
      <c r="U16" s="115" t="n"/>
      <c r="V16" s="115" t="n"/>
      <c r="W16" s="115" t="n"/>
      <c r="X16" s="115" t="n"/>
      <c r="Y16" s="115" t="n"/>
      <c r="Z16" s="115" t="n"/>
      <c r="AA16" s="115" t="n"/>
      <c r="AB16" s="115" t="n"/>
      <c r="AC16" s="115" t="n"/>
      <c r="AD16" s="116" t="n"/>
      <c r="AE16" s="7" t="n"/>
      <c r="AF16" s="109" t="n"/>
    </row>
    <row r="17">
      <c r="A17" s="117">
        <f>'3a-SalesForecastYear1'!B23</f>
        <v/>
      </c>
      <c r="B17" s="117" t="n"/>
      <c r="C17" s="118" t="n"/>
      <c r="D17" s="118" t="n"/>
      <c r="E17" s="118" t="n"/>
      <c r="F17" s="118" t="n"/>
      <c r="G17" s="118" t="n"/>
      <c r="H17" s="118" t="n"/>
      <c r="I17" s="118" t="n"/>
      <c r="J17" s="118" t="n"/>
      <c r="K17" s="118" t="n"/>
      <c r="L17" s="118" t="n"/>
      <c r="M17" s="118" t="n"/>
      <c r="N17" s="118" t="n"/>
      <c r="O17" s="119" t="n"/>
      <c r="P17" s="7" t="n"/>
      <c r="Q17" s="109" t="n"/>
      <c r="R17" s="118" t="n"/>
      <c r="S17" s="118" t="n"/>
      <c r="T17" s="118" t="n"/>
      <c r="U17" s="118" t="n"/>
      <c r="V17" s="118" t="n"/>
      <c r="W17" s="118" t="n"/>
      <c r="X17" s="118" t="n"/>
      <c r="Y17" s="118" t="n"/>
      <c r="Z17" s="118" t="n"/>
      <c r="AA17" s="118" t="n"/>
      <c r="AB17" s="118" t="n"/>
      <c r="AC17" s="118" t="n"/>
      <c r="AD17" s="119" t="n"/>
      <c r="AE17" s="7" t="n"/>
      <c r="AF17" s="109" t="n"/>
    </row>
    <row r="18">
      <c r="A18" s="107">
        <f>Unit2&amp; " Sold"</f>
        <v/>
      </c>
      <c r="B18" s="107">
        <f>Unit2_Annual</f>
        <v/>
      </c>
      <c r="C18" s="279">
        <f>'3a-SalesForecastYear1'!N24</f>
        <v/>
      </c>
      <c r="D18" s="279">
        <f>C18+C18*$C$7</f>
        <v/>
      </c>
      <c r="E18" s="279">
        <f>D18+D18*$C$7</f>
        <v/>
      </c>
      <c r="F18" s="279">
        <f>E18+E18*$C$7</f>
        <v/>
      </c>
      <c r="G18" s="279">
        <f>F18+F18*$C$7</f>
        <v/>
      </c>
      <c r="H18" s="279">
        <f>G18+G18*$C$7</f>
        <v/>
      </c>
      <c r="I18" s="279">
        <f>H18+H18*$C$7</f>
        <v/>
      </c>
      <c r="J18" s="279">
        <f>I18+I18*$C$7</f>
        <v/>
      </c>
      <c r="K18" s="279">
        <f>J18+J18*$C$7</f>
        <v/>
      </c>
      <c r="L18" s="279">
        <f>K18+K18*$C$7</f>
        <v/>
      </c>
      <c r="M18" s="279">
        <f>L18+L18*$C$7</f>
        <v/>
      </c>
      <c r="N18" s="279">
        <f>M18+M18*$C$7</f>
        <v/>
      </c>
      <c r="O18" s="298">
        <f>SUM(C18:N18)</f>
        <v/>
      </c>
      <c r="P18" s="7" t="n"/>
      <c r="Q18" s="289">
        <f>IF($O$46=0,0,O18/$O$46)</f>
        <v/>
      </c>
      <c r="R18" s="279">
        <f>N18</f>
        <v/>
      </c>
      <c r="S18" s="279">
        <f>R18+R18*$C$8</f>
        <v/>
      </c>
      <c r="T18" s="279">
        <f>S18+S18*$C$8</f>
        <v/>
      </c>
      <c r="U18" s="279">
        <f>T18+T18*$C$8</f>
        <v/>
      </c>
      <c r="V18" s="279">
        <f>U18+U18*$C$8</f>
        <v/>
      </c>
      <c r="W18" s="279">
        <f>V18+V18*$C$8</f>
        <v/>
      </c>
      <c r="X18" s="279">
        <f>W18+W18*$C$8</f>
        <v/>
      </c>
      <c r="Y18" s="279">
        <f>X18+X18*$C$8</f>
        <v/>
      </c>
      <c r="Z18" s="279">
        <f>Y18+Y18*$C$8</f>
        <v/>
      </c>
      <c r="AA18" s="279">
        <f>Z18+Z18*$C$8</f>
        <v/>
      </c>
      <c r="AB18" s="279">
        <f>AA18+AA18*$C$8</f>
        <v/>
      </c>
      <c r="AC18" s="279">
        <f>AB18+AB18*$C$8</f>
        <v/>
      </c>
      <c r="AD18" s="298">
        <f>SUM(R18:AC18)</f>
        <v/>
      </c>
      <c r="AE18" s="7" t="n"/>
      <c r="AF18" s="289">
        <f>IF($AD$46=0,0,AD18/$AD$46)</f>
        <v/>
      </c>
    </row>
    <row r="19">
      <c r="A19" s="120" t="inlineStr">
        <is>
          <t>Total Sales</t>
        </is>
      </c>
      <c r="B19" s="275">
        <f>Category2_Annual_Sales</f>
        <v/>
      </c>
      <c r="C19" s="281">
        <f>+C18*'3a-SalesForecastYear1'!$D$10</f>
        <v/>
      </c>
      <c r="D19" s="281">
        <f>+D18*'3a-SalesForecastYear1'!$D$10</f>
        <v/>
      </c>
      <c r="E19" s="281">
        <f>+E18*'3a-SalesForecastYear1'!$D$10</f>
        <v/>
      </c>
      <c r="F19" s="281">
        <f>+F18*'3a-SalesForecastYear1'!$D$10</f>
        <v/>
      </c>
      <c r="G19" s="281">
        <f>+G18*'3a-SalesForecastYear1'!$D$10</f>
        <v/>
      </c>
      <c r="H19" s="281">
        <f>+H18*'3a-SalesForecastYear1'!$D$10</f>
        <v/>
      </c>
      <c r="I19" s="281">
        <f>+I18*'3a-SalesForecastYear1'!$D$10</f>
        <v/>
      </c>
      <c r="J19" s="281">
        <f>+J18*'3a-SalesForecastYear1'!$D$10</f>
        <v/>
      </c>
      <c r="K19" s="281">
        <f>+K18*'3a-SalesForecastYear1'!$D$10</f>
        <v/>
      </c>
      <c r="L19" s="281">
        <f>+L18*'3a-SalesForecastYear1'!$D$10</f>
        <v/>
      </c>
      <c r="M19" s="281">
        <f>+M18*'3a-SalesForecastYear1'!$D$10</f>
        <v/>
      </c>
      <c r="N19" s="281">
        <f>+N18*'3a-SalesForecastYear1'!$D$10</f>
        <v/>
      </c>
      <c r="O19" s="121">
        <f>SUM(C19:N19)</f>
        <v/>
      </c>
      <c r="P19" s="290">
        <f>(P20+P21)</f>
        <v/>
      </c>
      <c r="Q19" s="289">
        <f>IF($O$47=0,0,O19/$O$47)</f>
        <v/>
      </c>
      <c r="R19" s="281">
        <f>+R18*'3a-SalesForecastYear1'!$D$10</f>
        <v/>
      </c>
      <c r="S19" s="281">
        <f>+S18*'3a-SalesForecastYear1'!$D$10</f>
        <v/>
      </c>
      <c r="T19" s="281">
        <f>+T18*'3a-SalesForecastYear1'!$D$10</f>
        <v/>
      </c>
      <c r="U19" s="281">
        <f>+U18*'3a-SalesForecastYear1'!$D$10</f>
        <v/>
      </c>
      <c r="V19" s="281">
        <f>+V18*'3a-SalesForecastYear1'!$D$10</f>
        <v/>
      </c>
      <c r="W19" s="281">
        <f>+W18*'3a-SalesForecastYear1'!$D$10</f>
        <v/>
      </c>
      <c r="X19" s="281">
        <f>+X18*'3a-SalesForecastYear1'!$D$10</f>
        <v/>
      </c>
      <c r="Y19" s="281">
        <f>+Y18*'3a-SalesForecastYear1'!$D$10</f>
        <v/>
      </c>
      <c r="Z19" s="281">
        <f>+Z18*'3a-SalesForecastYear1'!$D$10</f>
        <v/>
      </c>
      <c r="AA19" s="281">
        <f>+AA18*'3a-SalesForecastYear1'!$D$10</f>
        <v/>
      </c>
      <c r="AB19" s="281">
        <f>+AB18*'3a-SalesForecastYear1'!$D$10</f>
        <v/>
      </c>
      <c r="AC19" s="281">
        <f>+AC18*'3a-SalesForecastYear1'!$D$10</f>
        <v/>
      </c>
      <c r="AD19" s="121">
        <f>SUM(R19:AC19)</f>
        <v/>
      </c>
      <c r="AE19" s="290">
        <f>(AE20+AE21)</f>
        <v/>
      </c>
      <c r="AF19" s="289">
        <f>IF($AD$47=0,0,AD19/$AD$47)</f>
        <v/>
      </c>
    </row>
    <row r="20">
      <c r="A20" s="120" t="inlineStr">
        <is>
          <t>Total COGS</t>
        </is>
      </c>
      <c r="B20" s="275">
        <f>'3a-SalesForecastYear1'!O26</f>
        <v/>
      </c>
      <c r="C20" s="281">
        <f>+C18*'3a-SalesForecastYear1'!$E$10</f>
        <v/>
      </c>
      <c r="D20" s="281">
        <f>+D18*'3a-SalesForecastYear1'!$E$10</f>
        <v/>
      </c>
      <c r="E20" s="281">
        <f>+E18*'3a-SalesForecastYear1'!$E$10</f>
        <v/>
      </c>
      <c r="F20" s="281">
        <f>+F18*'3a-SalesForecastYear1'!$E$10</f>
        <v/>
      </c>
      <c r="G20" s="281">
        <f>+G18*'3a-SalesForecastYear1'!$E$10</f>
        <v/>
      </c>
      <c r="H20" s="281">
        <f>+H18*'3a-SalesForecastYear1'!$E$10</f>
        <v/>
      </c>
      <c r="I20" s="281">
        <f>+I18*'3a-SalesForecastYear1'!$E$10</f>
        <v/>
      </c>
      <c r="J20" s="281">
        <f>+J18*'3a-SalesForecastYear1'!$E$10</f>
        <v/>
      </c>
      <c r="K20" s="281">
        <f>+K18*'3a-SalesForecastYear1'!$E$10</f>
        <v/>
      </c>
      <c r="L20" s="281">
        <f>+L18*'3a-SalesForecastYear1'!$E$10</f>
        <v/>
      </c>
      <c r="M20" s="281">
        <f>+M18*'3a-SalesForecastYear1'!$E$10</f>
        <v/>
      </c>
      <c r="N20" s="281">
        <f>+N18*'3a-SalesForecastYear1'!$E$10</f>
        <v/>
      </c>
      <c r="O20" s="121">
        <f>SUM(C20:N20)</f>
        <v/>
      </c>
      <c r="P20" s="290">
        <f>IF(O19=0,0,O20/O19)</f>
        <v/>
      </c>
      <c r="Q20" s="289">
        <f>IF($O$48=0,0,O20/$O$48)</f>
        <v/>
      </c>
      <c r="R20" s="281">
        <f>+R18*'3a-SalesForecastYear1'!$E$10</f>
        <v/>
      </c>
      <c r="S20" s="281">
        <f>+S18*'3a-SalesForecastYear1'!$E$10</f>
        <v/>
      </c>
      <c r="T20" s="281">
        <f>+T18*'3a-SalesForecastYear1'!$E$10</f>
        <v/>
      </c>
      <c r="U20" s="281">
        <f>+U18*'3a-SalesForecastYear1'!$E$10</f>
        <v/>
      </c>
      <c r="V20" s="281">
        <f>+V18*'3a-SalesForecastYear1'!$E$10</f>
        <v/>
      </c>
      <c r="W20" s="281">
        <f>+W18*'3a-SalesForecastYear1'!$E$10</f>
        <v/>
      </c>
      <c r="X20" s="281">
        <f>+X18*'3a-SalesForecastYear1'!$E$10</f>
        <v/>
      </c>
      <c r="Y20" s="281">
        <f>+Y18*'3a-SalesForecastYear1'!$E$10</f>
        <v/>
      </c>
      <c r="Z20" s="281">
        <f>+Z18*'3a-SalesForecastYear1'!$E$10</f>
        <v/>
      </c>
      <c r="AA20" s="281">
        <f>+AA18*'3a-SalesForecastYear1'!$E$10</f>
        <v/>
      </c>
      <c r="AB20" s="281">
        <f>+AB18*'3a-SalesForecastYear1'!$E$10</f>
        <v/>
      </c>
      <c r="AC20" s="281">
        <f>+AC18*'3a-SalesForecastYear1'!$E$10</f>
        <v/>
      </c>
      <c r="AD20" s="121">
        <f>SUM(R20:AC20)</f>
        <v/>
      </c>
      <c r="AE20" s="290">
        <f>IF(AD19=0,0,AD20/AD19)</f>
        <v/>
      </c>
      <c r="AF20" s="289">
        <f>IF($AD$48=0,0,AD20/$AD$48)</f>
        <v/>
      </c>
    </row>
    <row r="21">
      <c r="A21" s="112" t="inlineStr">
        <is>
          <t>Margin</t>
        </is>
      </c>
      <c r="B21" s="276">
        <f>'3a-SalesForecastYear1'!O27</f>
        <v/>
      </c>
      <c r="C21" s="281">
        <f>C19-C20</f>
        <v/>
      </c>
      <c r="D21" s="281">
        <f>D19-D20</f>
        <v/>
      </c>
      <c r="E21" s="281">
        <f>E19-E20</f>
        <v/>
      </c>
      <c r="F21" s="281">
        <f>F19-F20</f>
        <v/>
      </c>
      <c r="G21" s="281">
        <f>G19-G20</f>
        <v/>
      </c>
      <c r="H21" s="281">
        <f>H19-H20</f>
        <v/>
      </c>
      <c r="I21" s="281">
        <f>I19-I20</f>
        <v/>
      </c>
      <c r="J21" s="281">
        <f>J19-J20</f>
        <v/>
      </c>
      <c r="K21" s="281">
        <f>K19-K20</f>
        <v/>
      </c>
      <c r="L21" s="281">
        <f>L19-L20</f>
        <v/>
      </c>
      <c r="M21" s="281">
        <f>M19-M20</f>
        <v/>
      </c>
      <c r="N21" s="281">
        <f>N19-N20</f>
        <v/>
      </c>
      <c r="O21" s="121">
        <f>SUM(C21:N21)</f>
        <v/>
      </c>
      <c r="P21" s="290">
        <f>IF(O19=0,0,O21/O19)</f>
        <v/>
      </c>
      <c r="Q21" s="289">
        <f>IF($O$49=0,0,O21/$O$49)</f>
        <v/>
      </c>
      <c r="R21" s="281">
        <f>R19-R20</f>
        <v/>
      </c>
      <c r="S21" s="281">
        <f>S19-S20</f>
        <v/>
      </c>
      <c r="T21" s="281">
        <f>T19-T20</f>
        <v/>
      </c>
      <c r="U21" s="281">
        <f>U19-U20</f>
        <v/>
      </c>
      <c r="V21" s="281">
        <f>V19-V20</f>
        <v/>
      </c>
      <c r="W21" s="281">
        <f>W19-W20</f>
        <v/>
      </c>
      <c r="X21" s="281">
        <f>X19-X20</f>
        <v/>
      </c>
      <c r="Y21" s="281">
        <f>Y19-Y20</f>
        <v/>
      </c>
      <c r="Z21" s="281">
        <f>Z19-Z20</f>
        <v/>
      </c>
      <c r="AA21" s="281">
        <f>AA19-AA20</f>
        <v/>
      </c>
      <c r="AB21" s="281">
        <f>AB19-AB20</f>
        <v/>
      </c>
      <c r="AC21" s="281">
        <f>AC19-AC20</f>
        <v/>
      </c>
      <c r="AD21" s="121">
        <f>SUM(R21:AC21)</f>
        <v/>
      </c>
      <c r="AE21" s="290">
        <f>IF(AD19=0,0,AD21/AD19)</f>
        <v/>
      </c>
      <c r="AF21" s="289">
        <f>IF($AD$49=0,0,AD21/$AD$49)</f>
        <v/>
      </c>
    </row>
    <row r="22">
      <c r="A22" s="113" t="n"/>
      <c r="B22" s="272" t="n"/>
      <c r="C22" s="115" t="n"/>
      <c r="D22" s="115" t="n"/>
      <c r="E22" s="115" t="n"/>
      <c r="F22" s="115" t="n"/>
      <c r="G22" s="115" t="n"/>
      <c r="H22" s="115" t="n"/>
      <c r="I22" s="115" t="n"/>
      <c r="J22" s="115" t="n"/>
      <c r="K22" s="115" t="n"/>
      <c r="L22" s="115" t="n"/>
      <c r="M22" s="115" t="n"/>
      <c r="N22" s="115" t="n"/>
      <c r="O22" s="116" t="n"/>
      <c r="P22" s="7" t="n"/>
      <c r="Q22" s="109" t="n"/>
      <c r="R22" s="115" t="n"/>
      <c r="S22" s="115" t="n"/>
      <c r="T22" s="115" t="n"/>
      <c r="U22" s="115" t="n"/>
      <c r="V22" s="115" t="n"/>
      <c r="W22" s="115" t="n"/>
      <c r="X22" s="115" t="n"/>
      <c r="Y22" s="115" t="n"/>
      <c r="Z22" s="115" t="n"/>
      <c r="AA22" s="115" t="n"/>
      <c r="AB22" s="115" t="n"/>
      <c r="AC22" s="115" t="n"/>
      <c r="AD22" s="116" t="n"/>
      <c r="AE22" s="7" t="n"/>
      <c r="AF22" s="109" t="n"/>
    </row>
    <row r="23">
      <c r="A23" s="117">
        <f>'3a-SalesForecastYear1'!B29</f>
        <v/>
      </c>
      <c r="B23" s="117" t="n"/>
      <c r="C23" s="122" t="n"/>
      <c r="D23" s="122" t="n"/>
      <c r="E23" s="122" t="n"/>
      <c r="F23" s="122" t="n"/>
      <c r="G23" s="122" t="n"/>
      <c r="H23" s="122" t="n"/>
      <c r="I23" s="122" t="n"/>
      <c r="J23" s="122" t="n"/>
      <c r="K23" s="122" t="n"/>
      <c r="L23" s="122" t="n"/>
      <c r="M23" s="122" t="n"/>
      <c r="N23" s="122" t="n"/>
      <c r="O23" s="119" t="n"/>
      <c r="P23" s="7" t="n"/>
      <c r="Q23" s="109" t="n"/>
      <c r="R23" s="122" t="n"/>
      <c r="S23" s="122" t="n"/>
      <c r="T23" s="122" t="n"/>
      <c r="U23" s="122" t="n"/>
      <c r="V23" s="122" t="n"/>
      <c r="W23" s="122" t="n"/>
      <c r="X23" s="122" t="n"/>
      <c r="Y23" s="122" t="n"/>
      <c r="Z23" s="122" t="n"/>
      <c r="AA23" s="122" t="n"/>
      <c r="AB23" s="122" t="n"/>
      <c r="AC23" s="122" t="n"/>
      <c r="AD23" s="119" t="n"/>
      <c r="AE23" s="7" t="n"/>
      <c r="AF23" s="109" t="n"/>
    </row>
    <row r="24">
      <c r="A24" s="107">
        <f>Unit3&amp; " Sold"</f>
        <v/>
      </c>
      <c r="B24" s="107">
        <f>Unit3_Annual</f>
        <v/>
      </c>
      <c r="C24" s="279">
        <f>'3a-SalesForecastYear1'!N30</f>
        <v/>
      </c>
      <c r="D24" s="279">
        <f>C24+C24*$C$7</f>
        <v/>
      </c>
      <c r="E24" s="279">
        <f>D24+D24*$C$7</f>
        <v/>
      </c>
      <c r="F24" s="279">
        <f>E24+E24*$C$7</f>
        <v/>
      </c>
      <c r="G24" s="279">
        <f>F24+F24*$C$7</f>
        <v/>
      </c>
      <c r="H24" s="279">
        <f>G24+G24*$C$7</f>
        <v/>
      </c>
      <c r="I24" s="279">
        <f>H24+H24*$C$7</f>
        <v/>
      </c>
      <c r="J24" s="279">
        <f>I24+I24*$C$7</f>
        <v/>
      </c>
      <c r="K24" s="279">
        <f>J24+J24*$C$7</f>
        <v/>
      </c>
      <c r="L24" s="279">
        <f>K24+K24*$C$7</f>
        <v/>
      </c>
      <c r="M24" s="279">
        <f>L24+L24*$C$7</f>
        <v/>
      </c>
      <c r="N24" s="279">
        <f>M24+M24*$C$7</f>
        <v/>
      </c>
      <c r="O24" s="298">
        <f>SUM(C24:N24)</f>
        <v/>
      </c>
      <c r="P24" s="7" t="n"/>
      <c r="Q24" s="289">
        <f>IF($O$46=0,0,O24/$O$46)</f>
        <v/>
      </c>
      <c r="R24" s="279">
        <f>N24</f>
        <v/>
      </c>
      <c r="S24" s="279">
        <f>R24+R24*$C$8</f>
        <v/>
      </c>
      <c r="T24" s="279">
        <f>S24+S24*$C$8</f>
        <v/>
      </c>
      <c r="U24" s="279">
        <f>T24+T24*$C$8</f>
        <v/>
      </c>
      <c r="V24" s="279">
        <f>U24+U24*$C$8</f>
        <v/>
      </c>
      <c r="W24" s="279">
        <f>V24+V24*$C$8</f>
        <v/>
      </c>
      <c r="X24" s="279">
        <f>W24+W24*$C$8</f>
        <v/>
      </c>
      <c r="Y24" s="279">
        <f>X24+X24*$C$8</f>
        <v/>
      </c>
      <c r="Z24" s="279">
        <f>Y24+Y24*$C$8</f>
        <v/>
      </c>
      <c r="AA24" s="279">
        <f>Z24+Z24*$C$8</f>
        <v/>
      </c>
      <c r="AB24" s="279">
        <f>AA24+AA24*$C$8</f>
        <v/>
      </c>
      <c r="AC24" s="279">
        <f>AB24+AB24*$C$8</f>
        <v/>
      </c>
      <c r="AD24" s="298">
        <f>SUM(R24:AC24)</f>
        <v/>
      </c>
      <c r="AE24" s="7" t="n"/>
      <c r="AF24" s="289">
        <f>IF($AD$46=0,0,AD24/$AD$46)</f>
        <v/>
      </c>
    </row>
    <row r="25">
      <c r="A25" s="120" t="inlineStr">
        <is>
          <t>Total Sales</t>
        </is>
      </c>
      <c r="B25" s="277">
        <f>Category3_Annual_Sales</f>
        <v/>
      </c>
      <c r="C25" s="281">
        <f>+C24*'3a-SalesForecastYear1'!$D$11</f>
        <v/>
      </c>
      <c r="D25" s="281">
        <f>+D24*'3a-SalesForecastYear1'!$D$11</f>
        <v/>
      </c>
      <c r="E25" s="281">
        <f>+E24*'3a-SalesForecastYear1'!$D$11</f>
        <v/>
      </c>
      <c r="F25" s="281">
        <f>+F24*'3a-SalesForecastYear1'!$D$11</f>
        <v/>
      </c>
      <c r="G25" s="281">
        <f>+G24*'3a-SalesForecastYear1'!$D$11</f>
        <v/>
      </c>
      <c r="H25" s="281">
        <f>+H24*'3a-SalesForecastYear1'!$D$11</f>
        <v/>
      </c>
      <c r="I25" s="281">
        <f>+I24*'3a-SalesForecastYear1'!$D$11</f>
        <v/>
      </c>
      <c r="J25" s="281">
        <f>+J24*'3a-SalesForecastYear1'!$D$11</f>
        <v/>
      </c>
      <c r="K25" s="281">
        <f>+K24*'3a-SalesForecastYear1'!$D$11</f>
        <v/>
      </c>
      <c r="L25" s="281">
        <f>+L24*'3a-SalesForecastYear1'!$D$11</f>
        <v/>
      </c>
      <c r="M25" s="281">
        <f>+M24*'3a-SalesForecastYear1'!$D$11</f>
        <v/>
      </c>
      <c r="N25" s="281">
        <f>+N24*'3a-SalesForecastYear1'!$D$11</f>
        <v/>
      </c>
      <c r="O25" s="121">
        <f>SUM(C25:N25)</f>
        <v/>
      </c>
      <c r="P25" s="290">
        <f>(P26+P27)</f>
        <v/>
      </c>
      <c r="Q25" s="289">
        <f>IF($O$47=0,0,O25/$O$47)</f>
        <v/>
      </c>
      <c r="R25" s="281">
        <f>+R24*'3a-SalesForecastYear1'!$D$11</f>
        <v/>
      </c>
      <c r="S25" s="281">
        <f>+S24*'3a-SalesForecastYear1'!$D$11</f>
        <v/>
      </c>
      <c r="T25" s="281">
        <f>+T24*'3a-SalesForecastYear1'!$D$11</f>
        <v/>
      </c>
      <c r="U25" s="281">
        <f>+U24*'3a-SalesForecastYear1'!$D$11</f>
        <v/>
      </c>
      <c r="V25" s="281">
        <f>+V24*'3a-SalesForecastYear1'!$D$11</f>
        <v/>
      </c>
      <c r="W25" s="281">
        <f>+W24*'3a-SalesForecastYear1'!$D$11</f>
        <v/>
      </c>
      <c r="X25" s="281">
        <f>+X24*'3a-SalesForecastYear1'!$D$11</f>
        <v/>
      </c>
      <c r="Y25" s="281">
        <f>+Y24*'3a-SalesForecastYear1'!$D$11</f>
        <v/>
      </c>
      <c r="Z25" s="281">
        <f>+Z24*'3a-SalesForecastYear1'!$D$11</f>
        <v/>
      </c>
      <c r="AA25" s="281">
        <f>+AA24*'3a-SalesForecastYear1'!$D$11</f>
        <v/>
      </c>
      <c r="AB25" s="281">
        <f>+AB24*'3a-SalesForecastYear1'!$D$11</f>
        <v/>
      </c>
      <c r="AC25" s="281">
        <f>+AC24*'3a-SalesForecastYear1'!$D$11</f>
        <v/>
      </c>
      <c r="AD25" s="121">
        <f>SUM(R25:AC25)</f>
        <v/>
      </c>
      <c r="AE25" s="290">
        <f>(AE26+AE27)</f>
        <v/>
      </c>
      <c r="AF25" s="289">
        <f>IF($AD$47=0,0,AD25/$AD$47)</f>
        <v/>
      </c>
    </row>
    <row r="26">
      <c r="A26" s="120" t="inlineStr">
        <is>
          <t>Total COGS</t>
        </is>
      </c>
      <c r="B26" s="277">
        <f>'3a-SalesForecastYear1'!O32</f>
        <v/>
      </c>
      <c r="C26" s="281">
        <f>+C24*'3a-SalesForecastYear1'!$E$11</f>
        <v/>
      </c>
      <c r="D26" s="281">
        <f>+D24*'3a-SalesForecastYear1'!$E$11</f>
        <v/>
      </c>
      <c r="E26" s="281">
        <f>+E24*'3a-SalesForecastYear1'!$E$11</f>
        <v/>
      </c>
      <c r="F26" s="281">
        <f>+F24*'3a-SalesForecastYear1'!$E$11</f>
        <v/>
      </c>
      <c r="G26" s="281">
        <f>+G24*'3a-SalesForecastYear1'!$E$11</f>
        <v/>
      </c>
      <c r="H26" s="281">
        <f>+H24*'3a-SalesForecastYear1'!$E$11</f>
        <v/>
      </c>
      <c r="I26" s="281">
        <f>+I24*'3a-SalesForecastYear1'!$E$11</f>
        <v/>
      </c>
      <c r="J26" s="281">
        <f>+J24*'3a-SalesForecastYear1'!$E$11</f>
        <v/>
      </c>
      <c r="K26" s="281">
        <f>+K24*'3a-SalesForecastYear1'!$E$11</f>
        <v/>
      </c>
      <c r="L26" s="281">
        <f>+L24*'3a-SalesForecastYear1'!$E$11</f>
        <v/>
      </c>
      <c r="M26" s="281">
        <f>+M24*'3a-SalesForecastYear1'!$E$11</f>
        <v/>
      </c>
      <c r="N26" s="281">
        <f>+N24*'3a-SalesForecastYear1'!$E$11</f>
        <v/>
      </c>
      <c r="O26" s="121">
        <f>SUM(C26:N26)</f>
        <v/>
      </c>
      <c r="P26" s="290">
        <f>IF(O25=0,0,O26/O25)</f>
        <v/>
      </c>
      <c r="Q26" s="289">
        <f>IF($O$48=0,0,O26/$O$48)</f>
        <v/>
      </c>
      <c r="R26" s="281">
        <f>+R24*'3a-SalesForecastYear1'!$E$11</f>
        <v/>
      </c>
      <c r="S26" s="281">
        <f>+S24*'3a-SalesForecastYear1'!$E$11</f>
        <v/>
      </c>
      <c r="T26" s="281">
        <f>+T24*'3a-SalesForecastYear1'!$E$11</f>
        <v/>
      </c>
      <c r="U26" s="281">
        <f>+U24*'3a-SalesForecastYear1'!$E$11</f>
        <v/>
      </c>
      <c r="V26" s="281">
        <f>+V24*'3a-SalesForecastYear1'!$E$11</f>
        <v/>
      </c>
      <c r="W26" s="281">
        <f>+W24*'3a-SalesForecastYear1'!$E$11</f>
        <v/>
      </c>
      <c r="X26" s="281">
        <f>+X24*'3a-SalesForecastYear1'!$E$11</f>
        <v/>
      </c>
      <c r="Y26" s="281">
        <f>+Y24*'3a-SalesForecastYear1'!$E$11</f>
        <v/>
      </c>
      <c r="Z26" s="281">
        <f>+Z24*'3a-SalesForecastYear1'!$E$11</f>
        <v/>
      </c>
      <c r="AA26" s="281">
        <f>+AA24*'3a-SalesForecastYear1'!$E$11</f>
        <v/>
      </c>
      <c r="AB26" s="281">
        <f>+AB24*'3a-SalesForecastYear1'!$E$11</f>
        <v/>
      </c>
      <c r="AC26" s="281">
        <f>+AC24*'3a-SalesForecastYear1'!$E$11</f>
        <v/>
      </c>
      <c r="AD26" s="121">
        <f>SUM(R26:AC26)</f>
        <v/>
      </c>
      <c r="AE26" s="290">
        <f>IF(AD25=0,0,AD26/AD25)</f>
        <v/>
      </c>
      <c r="AF26" s="289">
        <f>IF($AD$48=0,0,AD26/$AD$48)</f>
        <v/>
      </c>
    </row>
    <row r="27">
      <c r="A27" s="112" t="inlineStr">
        <is>
          <t>Margin</t>
        </is>
      </c>
      <c r="B27" s="276">
        <f>'3a-SalesForecastYear1'!O33</f>
        <v/>
      </c>
      <c r="C27" s="281">
        <f>C25-C26</f>
        <v/>
      </c>
      <c r="D27" s="281">
        <f>D25-D26</f>
        <v/>
      </c>
      <c r="E27" s="281">
        <f>E25-E26</f>
        <v/>
      </c>
      <c r="F27" s="281">
        <f>F25-F26</f>
        <v/>
      </c>
      <c r="G27" s="281">
        <f>G25-G26</f>
        <v/>
      </c>
      <c r="H27" s="281">
        <f>H25-H26</f>
        <v/>
      </c>
      <c r="I27" s="281">
        <f>I25-I26</f>
        <v/>
      </c>
      <c r="J27" s="281">
        <f>J25-J26</f>
        <v/>
      </c>
      <c r="K27" s="281">
        <f>K25-K26</f>
        <v/>
      </c>
      <c r="L27" s="281">
        <f>L25-L26</f>
        <v/>
      </c>
      <c r="M27" s="281">
        <f>M25-M26</f>
        <v/>
      </c>
      <c r="N27" s="281">
        <f>N25-N26</f>
        <v/>
      </c>
      <c r="O27" s="121">
        <f>SUM(C27:N27)</f>
        <v/>
      </c>
      <c r="P27" s="290">
        <f>IF(O25=0,0,O27/O25)</f>
        <v/>
      </c>
      <c r="Q27" s="289">
        <f>IF($O$49=0,0,O27/$O$49)</f>
        <v/>
      </c>
      <c r="R27" s="281">
        <f>R25-R26</f>
        <v/>
      </c>
      <c r="S27" s="281">
        <f>S25-S26</f>
        <v/>
      </c>
      <c r="T27" s="281">
        <f>T25-T26</f>
        <v/>
      </c>
      <c r="U27" s="281">
        <f>U25-U26</f>
        <v/>
      </c>
      <c r="V27" s="281">
        <f>V25-V26</f>
        <v/>
      </c>
      <c r="W27" s="281">
        <f>W25-W26</f>
        <v/>
      </c>
      <c r="X27" s="281">
        <f>X25-X26</f>
        <v/>
      </c>
      <c r="Y27" s="281">
        <f>Y25-Y26</f>
        <v/>
      </c>
      <c r="Z27" s="281">
        <f>Z25-Z26</f>
        <v/>
      </c>
      <c r="AA27" s="281">
        <f>AA25-AA26</f>
        <v/>
      </c>
      <c r="AB27" s="281">
        <f>AB25-AB26</f>
        <v/>
      </c>
      <c r="AC27" s="281">
        <f>AC25-AC26</f>
        <v/>
      </c>
      <c r="AD27" s="121">
        <f>SUM(R27:AC27)</f>
        <v/>
      </c>
      <c r="AE27" s="290">
        <f>IF(AD25=0,0,AD27/AD25)</f>
        <v/>
      </c>
      <c r="AF27" s="289">
        <f>IF($AD$49=0,0,AD27/$AD$49)</f>
        <v/>
      </c>
    </row>
    <row r="28">
      <c r="A28" s="123" t="n"/>
      <c r="B28" s="273" t="n"/>
      <c r="C28" s="115" t="n"/>
      <c r="D28" s="115" t="n"/>
      <c r="E28" s="115" t="n"/>
      <c r="F28" s="115" t="n"/>
      <c r="G28" s="115" t="n"/>
      <c r="H28" s="115" t="n"/>
      <c r="I28" s="115" t="n"/>
      <c r="J28" s="115" t="n"/>
      <c r="K28" s="115" t="n"/>
      <c r="L28" s="115" t="n"/>
      <c r="M28" s="115" t="n"/>
      <c r="N28" s="115" t="n"/>
      <c r="O28" s="116" t="n"/>
      <c r="P28" s="7" t="n"/>
      <c r="Q28" s="109" t="n"/>
      <c r="R28" s="115" t="n"/>
      <c r="S28" s="115" t="n"/>
      <c r="T28" s="115" t="n"/>
      <c r="U28" s="115" t="n"/>
      <c r="V28" s="115" t="n"/>
      <c r="W28" s="115" t="n"/>
      <c r="X28" s="115" t="n"/>
      <c r="Y28" s="115" t="n"/>
      <c r="Z28" s="115" t="n"/>
      <c r="AA28" s="115" t="n"/>
      <c r="AB28" s="115" t="n"/>
      <c r="AC28" s="115" t="n"/>
      <c r="AD28" s="116" t="n"/>
      <c r="AE28" s="7" t="n"/>
      <c r="AF28" s="109" t="n"/>
    </row>
    <row r="29">
      <c r="A29" s="117">
        <f>'3a-SalesForecastYear1'!B35</f>
        <v/>
      </c>
      <c r="B29" s="117" t="n"/>
      <c r="C29" s="118" t="n"/>
      <c r="D29" s="118" t="n"/>
      <c r="E29" s="118" t="n"/>
      <c r="F29" s="118" t="n"/>
      <c r="G29" s="118" t="n"/>
      <c r="H29" s="118" t="n"/>
      <c r="I29" s="118" t="n"/>
      <c r="J29" s="118" t="n"/>
      <c r="K29" s="118" t="n"/>
      <c r="L29" s="118" t="n"/>
      <c r="M29" s="118" t="n"/>
      <c r="N29" s="118" t="n"/>
      <c r="O29" s="119" t="n"/>
      <c r="P29" s="7" t="n"/>
      <c r="Q29" s="109" t="n"/>
      <c r="R29" s="118" t="n"/>
      <c r="S29" s="118" t="n"/>
      <c r="T29" s="118" t="n"/>
      <c r="U29" s="118" t="n"/>
      <c r="V29" s="118" t="n"/>
      <c r="W29" s="118" t="n"/>
      <c r="X29" s="118" t="n"/>
      <c r="Y29" s="118" t="n"/>
      <c r="Z29" s="118" t="n"/>
      <c r="AA29" s="118" t="n"/>
      <c r="AB29" s="118" t="n"/>
      <c r="AC29" s="118" t="n"/>
      <c r="AD29" s="119" t="n"/>
      <c r="AE29" s="7" t="n"/>
      <c r="AF29" s="109" t="n"/>
    </row>
    <row r="30">
      <c r="A30" s="107">
        <f>Unit4&amp; " Sold"</f>
        <v/>
      </c>
      <c r="B30" s="107">
        <f>Unit4_Annual</f>
        <v/>
      </c>
      <c r="C30" s="280">
        <f>'3a-SalesForecastYear1'!N36</f>
        <v/>
      </c>
      <c r="D30" s="279">
        <f>C30+C30*$C$7</f>
        <v/>
      </c>
      <c r="E30" s="279">
        <f>D30+D30*$C$7</f>
        <v/>
      </c>
      <c r="F30" s="279">
        <f>E30+E30*$C$7</f>
        <v/>
      </c>
      <c r="G30" s="279">
        <f>F30+F30*$C$7</f>
        <v/>
      </c>
      <c r="H30" s="279">
        <f>G30+G30*$C$7</f>
        <v/>
      </c>
      <c r="I30" s="279">
        <f>H30+H30*$C$7</f>
        <v/>
      </c>
      <c r="J30" s="279">
        <f>I30+I30*$C$7</f>
        <v/>
      </c>
      <c r="K30" s="279">
        <f>J30+J30*$C$7</f>
        <v/>
      </c>
      <c r="L30" s="279">
        <f>K30+K30*$C$7</f>
        <v/>
      </c>
      <c r="M30" s="279">
        <f>L30+L30*$C$7</f>
        <v/>
      </c>
      <c r="N30" s="279">
        <f>M30+M30*$C$7</f>
        <v/>
      </c>
      <c r="O30" s="298">
        <f>SUM(C30:N30)</f>
        <v/>
      </c>
      <c r="P30" s="7" t="n"/>
      <c r="Q30" s="289">
        <f>IF($O$46=0,0,O30/$O$46)</f>
        <v/>
      </c>
      <c r="R30" s="279">
        <f>N30</f>
        <v/>
      </c>
      <c r="S30" s="279">
        <f>R30+R30*$C$8</f>
        <v/>
      </c>
      <c r="T30" s="279">
        <f>S30+S30*$C$8</f>
        <v/>
      </c>
      <c r="U30" s="279">
        <f>T30+T30*$C$8</f>
        <v/>
      </c>
      <c r="V30" s="279">
        <f>U30+U30*$C$8</f>
        <v/>
      </c>
      <c r="W30" s="279">
        <f>V30+V30*$C$8</f>
        <v/>
      </c>
      <c r="X30" s="279">
        <f>W30+W30*$C$8</f>
        <v/>
      </c>
      <c r="Y30" s="279">
        <f>X30+X30*$C$8</f>
        <v/>
      </c>
      <c r="Z30" s="279">
        <f>Y30+Y30*$C$8</f>
        <v/>
      </c>
      <c r="AA30" s="279">
        <f>Z30+Z30*$C$8</f>
        <v/>
      </c>
      <c r="AB30" s="279">
        <f>AA30+AA30*$C$8</f>
        <v/>
      </c>
      <c r="AC30" s="279">
        <f>AB30+AB30*$C$8</f>
        <v/>
      </c>
      <c r="AD30" s="298">
        <f>SUM(R30:AC30)</f>
        <v/>
      </c>
      <c r="AE30" s="7" t="n"/>
      <c r="AF30" s="289">
        <f>IF($AD$46=0,0,AD30/$AD$46)</f>
        <v/>
      </c>
    </row>
    <row r="31">
      <c r="A31" s="120" t="inlineStr">
        <is>
          <t>Total Sales</t>
        </is>
      </c>
      <c r="B31" s="120">
        <f>Category4_Annual_Sales</f>
        <v/>
      </c>
      <c r="C31" s="281">
        <f>+C30*'3a-SalesForecastYear1'!$D$12</f>
        <v/>
      </c>
      <c r="D31" s="281">
        <f>+D30*'3a-SalesForecastYear1'!$D$12</f>
        <v/>
      </c>
      <c r="E31" s="281">
        <f>+E30*'3a-SalesForecastYear1'!$D$12</f>
        <v/>
      </c>
      <c r="F31" s="281">
        <f>+F30*'3a-SalesForecastYear1'!$D$12</f>
        <v/>
      </c>
      <c r="G31" s="281">
        <f>+G30*'3a-SalesForecastYear1'!$D$12</f>
        <v/>
      </c>
      <c r="H31" s="281">
        <f>+H30*'3a-SalesForecastYear1'!$D$12</f>
        <v/>
      </c>
      <c r="I31" s="281">
        <f>+I30*'3a-SalesForecastYear1'!$D$12</f>
        <v/>
      </c>
      <c r="J31" s="281">
        <f>+J30*'3a-SalesForecastYear1'!$D$12</f>
        <v/>
      </c>
      <c r="K31" s="281">
        <f>+K30*'3a-SalesForecastYear1'!$D$12</f>
        <v/>
      </c>
      <c r="L31" s="281">
        <f>+L30*'3a-SalesForecastYear1'!$D$12</f>
        <v/>
      </c>
      <c r="M31" s="281">
        <f>+M30*'3a-SalesForecastYear1'!$D$12</f>
        <v/>
      </c>
      <c r="N31" s="281">
        <f>+N30*'3a-SalesForecastYear1'!$D$12</f>
        <v/>
      </c>
      <c r="O31" s="111">
        <f>SUM(C31:N31)</f>
        <v/>
      </c>
      <c r="P31" s="290">
        <f>(P32+P33)</f>
        <v/>
      </c>
      <c r="Q31" s="289">
        <f>IF($O$47=0,0,O31/$O$47)</f>
        <v/>
      </c>
      <c r="R31" s="281">
        <f>+R30*'3a-SalesForecastYear1'!$D$12</f>
        <v/>
      </c>
      <c r="S31" s="281">
        <f>+S30*'3a-SalesForecastYear1'!$D$12</f>
        <v/>
      </c>
      <c r="T31" s="281">
        <f>+T30*'3a-SalesForecastYear1'!$D$12</f>
        <v/>
      </c>
      <c r="U31" s="281">
        <f>+U30*'3a-SalesForecastYear1'!$D$12</f>
        <v/>
      </c>
      <c r="V31" s="281">
        <f>+V30*'3a-SalesForecastYear1'!$D$12</f>
        <v/>
      </c>
      <c r="W31" s="281">
        <f>+W30*'3a-SalesForecastYear1'!$D$12</f>
        <v/>
      </c>
      <c r="X31" s="281">
        <f>+X30*'3a-SalesForecastYear1'!$D$12</f>
        <v/>
      </c>
      <c r="Y31" s="281">
        <f>+Y30*'3a-SalesForecastYear1'!$D$12</f>
        <v/>
      </c>
      <c r="Z31" s="281">
        <f>+Z30*'3a-SalesForecastYear1'!$D$12</f>
        <v/>
      </c>
      <c r="AA31" s="281">
        <f>+AA30*'3a-SalesForecastYear1'!$D$12</f>
        <v/>
      </c>
      <c r="AB31" s="281">
        <f>+AB30*'3a-SalesForecastYear1'!$D$12</f>
        <v/>
      </c>
      <c r="AC31" s="281">
        <f>+AC30*'3a-SalesForecastYear1'!$D$12</f>
        <v/>
      </c>
      <c r="AD31" s="111">
        <f>SUM(R31:AC31)</f>
        <v/>
      </c>
      <c r="AE31" s="290">
        <f>(AE32+AE33)</f>
        <v/>
      </c>
      <c r="AF31" s="289">
        <f>IF($AD$47=0,0,AD31/$AD$47)</f>
        <v/>
      </c>
    </row>
    <row r="32">
      <c r="A32" s="120" t="inlineStr">
        <is>
          <t>Total COGS</t>
        </is>
      </c>
      <c r="B32" s="277">
        <f>'3a-SalesForecastYear1'!O38</f>
        <v/>
      </c>
      <c r="C32" s="281">
        <f>+C30*'3a-SalesForecastYear1'!$E$12</f>
        <v/>
      </c>
      <c r="D32" s="281">
        <f>+D30*'3a-SalesForecastYear1'!$E$12</f>
        <v/>
      </c>
      <c r="E32" s="281">
        <f>+E30*'3a-SalesForecastYear1'!$E$12</f>
        <v/>
      </c>
      <c r="F32" s="281">
        <f>+F30*'3a-SalesForecastYear1'!$E$12</f>
        <v/>
      </c>
      <c r="G32" s="281">
        <f>+G30*'3a-SalesForecastYear1'!$E$12</f>
        <v/>
      </c>
      <c r="H32" s="281">
        <f>+H30*'3a-SalesForecastYear1'!$E$12</f>
        <v/>
      </c>
      <c r="I32" s="281">
        <f>+I30*'3a-SalesForecastYear1'!$E$12</f>
        <v/>
      </c>
      <c r="J32" s="281">
        <f>+J30*'3a-SalesForecastYear1'!$E$12</f>
        <v/>
      </c>
      <c r="K32" s="281">
        <f>+K30*'3a-SalesForecastYear1'!$E$12</f>
        <v/>
      </c>
      <c r="L32" s="281">
        <f>+L30*'3a-SalesForecastYear1'!$E$12</f>
        <v/>
      </c>
      <c r="M32" s="281">
        <f>+M30*'3a-SalesForecastYear1'!$E$12</f>
        <v/>
      </c>
      <c r="N32" s="281">
        <f>+N30*'3a-SalesForecastYear1'!$E$12</f>
        <v/>
      </c>
      <c r="O32" s="111">
        <f>SUM(C32:N32)</f>
        <v/>
      </c>
      <c r="P32" s="290">
        <f>IF(O31=0,0,O32/O31)</f>
        <v/>
      </c>
      <c r="Q32" s="289">
        <f>IF($O$48=0,0,O32/$O$48)</f>
        <v/>
      </c>
      <c r="R32" s="281">
        <f>+R30*'3a-SalesForecastYear1'!$E$12</f>
        <v/>
      </c>
      <c r="S32" s="281">
        <f>+S30*'3a-SalesForecastYear1'!$E$12</f>
        <v/>
      </c>
      <c r="T32" s="281">
        <f>+T30*'3a-SalesForecastYear1'!$E$12</f>
        <v/>
      </c>
      <c r="U32" s="281">
        <f>+U30*'3a-SalesForecastYear1'!$E$12</f>
        <v/>
      </c>
      <c r="V32" s="281">
        <f>+V30*'3a-SalesForecastYear1'!$E$12</f>
        <v/>
      </c>
      <c r="W32" s="281">
        <f>+W30*'3a-SalesForecastYear1'!$E$12</f>
        <v/>
      </c>
      <c r="X32" s="281">
        <f>+X30*'3a-SalesForecastYear1'!$E$12</f>
        <v/>
      </c>
      <c r="Y32" s="281">
        <f>+Y30*'3a-SalesForecastYear1'!$E$12</f>
        <v/>
      </c>
      <c r="Z32" s="281">
        <f>+Z30*'3a-SalesForecastYear1'!$E$12</f>
        <v/>
      </c>
      <c r="AA32" s="281">
        <f>+AA30*'3a-SalesForecastYear1'!$E$12</f>
        <v/>
      </c>
      <c r="AB32" s="281">
        <f>+AB30*'3a-SalesForecastYear1'!$E$12</f>
        <v/>
      </c>
      <c r="AC32" s="281">
        <f>+AC30*'3a-SalesForecastYear1'!$E$12</f>
        <v/>
      </c>
      <c r="AD32" s="111">
        <f>SUM(R32:AC32)</f>
        <v/>
      </c>
      <c r="AE32" s="290">
        <f>IF(AD31=0,0,AD32/AD31)</f>
        <v/>
      </c>
      <c r="AF32" s="289">
        <f>IF($AD$48=0,0,AD32/$AD$48)</f>
        <v/>
      </c>
    </row>
    <row r="33">
      <c r="A33" s="112" t="inlineStr">
        <is>
          <t>Margin</t>
        </is>
      </c>
      <c r="B33" s="276">
        <f>'3a-SalesForecastYear1'!O39</f>
        <v/>
      </c>
      <c r="C33" s="282">
        <f>C31-C32</f>
        <v/>
      </c>
      <c r="D33" s="282">
        <f>D31-D32</f>
        <v/>
      </c>
      <c r="E33" s="282">
        <f>E31-E32</f>
        <v/>
      </c>
      <c r="F33" s="282">
        <f>F31-F32</f>
        <v/>
      </c>
      <c r="G33" s="282">
        <f>G31-G32</f>
        <v/>
      </c>
      <c r="H33" s="282">
        <f>H31-H32</f>
        <v/>
      </c>
      <c r="I33" s="282">
        <f>I31-I32</f>
        <v/>
      </c>
      <c r="J33" s="282">
        <f>J31-J32</f>
        <v/>
      </c>
      <c r="K33" s="282">
        <f>K31-K32</f>
        <v/>
      </c>
      <c r="L33" s="282">
        <f>L31-L32</f>
        <v/>
      </c>
      <c r="M33" s="282">
        <f>M31-M32</f>
        <v/>
      </c>
      <c r="N33" s="282">
        <f>N31-N32</f>
        <v/>
      </c>
      <c r="O33" s="111">
        <f>SUM(C33:N33)</f>
        <v/>
      </c>
      <c r="P33" s="290">
        <f>IF(O31=0,0,O33/O31)</f>
        <v/>
      </c>
      <c r="Q33" s="289">
        <f>IF($O$49=0,0,O33/$O$49)</f>
        <v/>
      </c>
      <c r="R33" s="281">
        <f>R31-R32</f>
        <v/>
      </c>
      <c r="S33" s="281">
        <f>S31-S32</f>
        <v/>
      </c>
      <c r="T33" s="281">
        <f>T31-T32</f>
        <v/>
      </c>
      <c r="U33" s="281">
        <f>U31-U32</f>
        <v/>
      </c>
      <c r="V33" s="281">
        <f>V31-V32</f>
        <v/>
      </c>
      <c r="W33" s="281">
        <f>W31-W32</f>
        <v/>
      </c>
      <c r="X33" s="281">
        <f>X31-X32</f>
        <v/>
      </c>
      <c r="Y33" s="281">
        <f>Y31-Y32</f>
        <v/>
      </c>
      <c r="Z33" s="281">
        <f>Z31-Z32</f>
        <v/>
      </c>
      <c r="AA33" s="281">
        <f>AA31-AA32</f>
        <v/>
      </c>
      <c r="AB33" s="281">
        <f>AB31-AB32</f>
        <v/>
      </c>
      <c r="AC33" s="281">
        <f>AC31-AC32</f>
        <v/>
      </c>
      <c r="AD33" s="111">
        <f>SUM(R33:AC33)</f>
        <v/>
      </c>
      <c r="AE33" s="290">
        <f>IF(AD31=0,0,AD33/AD31)</f>
        <v/>
      </c>
      <c r="AF33" s="289">
        <f>IF($AD$49=0,0,AD33/$AD$49)</f>
        <v/>
      </c>
    </row>
    <row r="34">
      <c r="A34" s="123" t="n"/>
      <c r="B34" s="273" t="n"/>
      <c r="C34" s="115" t="n"/>
      <c r="D34" s="115" t="n"/>
      <c r="E34" s="115" t="n"/>
      <c r="F34" s="124" t="n"/>
      <c r="G34" s="124" t="n"/>
      <c r="H34" s="124" t="n"/>
      <c r="I34" s="124" t="n"/>
      <c r="J34" s="124" t="n"/>
      <c r="K34" s="124" t="n"/>
      <c r="L34" s="124" t="n"/>
      <c r="M34" s="124" t="n"/>
      <c r="N34" s="124" t="n"/>
      <c r="O34" s="108" t="n"/>
      <c r="P34" s="7" t="n"/>
      <c r="Q34" s="109" t="n"/>
      <c r="R34" s="115" t="n"/>
      <c r="S34" s="115" t="n"/>
      <c r="T34" s="115" t="n"/>
      <c r="U34" s="124" t="n"/>
      <c r="V34" s="124" t="n"/>
      <c r="W34" s="124" t="n"/>
      <c r="X34" s="124" t="n"/>
      <c r="Y34" s="124" t="n"/>
      <c r="Z34" s="124" t="n"/>
      <c r="AA34" s="124" t="n"/>
      <c r="AB34" s="124" t="n"/>
      <c r="AC34" s="124" t="n"/>
      <c r="AD34" s="108" t="n"/>
      <c r="AE34" s="7" t="n"/>
      <c r="AF34" s="109" t="n"/>
    </row>
    <row r="35">
      <c r="A35" s="117">
        <f>'3a-SalesForecastYear1'!B41</f>
        <v/>
      </c>
      <c r="B35" s="117" t="n"/>
      <c r="C35" s="122" t="n"/>
      <c r="D35" s="122" t="n"/>
      <c r="E35" s="122" t="n"/>
      <c r="F35" s="122" t="n"/>
      <c r="G35" s="122" t="n"/>
      <c r="H35" s="122" t="n"/>
      <c r="I35" s="122" t="n"/>
      <c r="J35" s="122" t="n"/>
      <c r="K35" s="122" t="n"/>
      <c r="L35" s="122" t="n"/>
      <c r="M35" s="122" t="n"/>
      <c r="N35" s="122" t="n"/>
      <c r="O35" s="119" t="n"/>
      <c r="P35" s="7" t="n"/>
      <c r="Q35" s="109" t="n"/>
      <c r="R35" s="122" t="n"/>
      <c r="S35" s="122" t="n"/>
      <c r="T35" s="122" t="n"/>
      <c r="U35" s="122" t="n"/>
      <c r="V35" s="122" t="n"/>
      <c r="W35" s="122" t="n"/>
      <c r="X35" s="122" t="n"/>
      <c r="Y35" s="122" t="n"/>
      <c r="Z35" s="122" t="n"/>
      <c r="AA35" s="122" t="n"/>
      <c r="AB35" s="122" t="n"/>
      <c r="AC35" s="122" t="n"/>
      <c r="AD35" s="119" t="n"/>
      <c r="AE35" s="7" t="n"/>
      <c r="AF35" s="109" t="n"/>
    </row>
    <row r="36">
      <c r="A36" s="107">
        <f>Unit5&amp; " Sold"</f>
        <v/>
      </c>
      <c r="B36" s="107">
        <f>Unit5_Annual</f>
        <v/>
      </c>
      <c r="C36" s="279">
        <f>'3a-SalesForecastYear1'!N42</f>
        <v/>
      </c>
      <c r="D36" s="279">
        <f>C36+C36*$C$7</f>
        <v/>
      </c>
      <c r="E36" s="279">
        <f>D36+D36*$C$7</f>
        <v/>
      </c>
      <c r="F36" s="279">
        <f>E36+E36*$C$7</f>
        <v/>
      </c>
      <c r="G36" s="279">
        <f>F36+F36*$C$7</f>
        <v/>
      </c>
      <c r="H36" s="279">
        <f>G36+G36*$C$7</f>
        <v/>
      </c>
      <c r="I36" s="279">
        <f>H36+H36*$C$7</f>
        <v/>
      </c>
      <c r="J36" s="279">
        <f>I36+I36*$C$7</f>
        <v/>
      </c>
      <c r="K36" s="279">
        <f>J36+J36*$C$7</f>
        <v/>
      </c>
      <c r="L36" s="279">
        <f>K36+K36*$C$7</f>
        <v/>
      </c>
      <c r="M36" s="279">
        <f>L36+L36*$C$7</f>
        <v/>
      </c>
      <c r="N36" s="279">
        <f>M36+M36*$C$7</f>
        <v/>
      </c>
      <c r="O36" s="297">
        <f>SUM(C36:N36)</f>
        <v/>
      </c>
      <c r="P36" s="7" t="n"/>
      <c r="Q36" s="289">
        <f>IF($O$46=0,0,O36/$O$46)</f>
        <v/>
      </c>
      <c r="R36" s="279">
        <f>N36</f>
        <v/>
      </c>
      <c r="S36" s="279">
        <f>R36+R36*$C$8</f>
        <v/>
      </c>
      <c r="T36" s="279">
        <f>S36+S36*$C$8</f>
        <v/>
      </c>
      <c r="U36" s="279">
        <f>T36+T36*$C$8</f>
        <v/>
      </c>
      <c r="V36" s="279">
        <f>U36+U36*$C$8</f>
        <v/>
      </c>
      <c r="W36" s="279">
        <f>V36+V36*$C$8</f>
        <v/>
      </c>
      <c r="X36" s="279">
        <f>W36+W36*$C$8</f>
        <v/>
      </c>
      <c r="Y36" s="279">
        <f>X36+X36*$C$8</f>
        <v/>
      </c>
      <c r="Z36" s="279">
        <f>Y36+Y36*$C$8</f>
        <v/>
      </c>
      <c r="AA36" s="279">
        <f>Z36+Z36*$C$8</f>
        <v/>
      </c>
      <c r="AB36" s="279">
        <f>AA36+AA36*$C$8</f>
        <v/>
      </c>
      <c r="AC36" s="279">
        <f>AB36+AB36*$C$8</f>
        <v/>
      </c>
      <c r="AD36" s="297">
        <f>SUM(R36:AC36)</f>
        <v/>
      </c>
      <c r="AE36" s="7" t="n"/>
      <c r="AF36" s="289">
        <f>IF($AD$46=0,0,AD36/$AD$46)</f>
        <v/>
      </c>
    </row>
    <row r="37">
      <c r="A37" s="120" t="inlineStr">
        <is>
          <t>Total Sales</t>
        </is>
      </c>
      <c r="B37" s="277">
        <f>Category5_Annual_Sales</f>
        <v/>
      </c>
      <c r="C37" s="281">
        <f>+C36*'3a-SalesForecastYear1'!$D$13</f>
        <v/>
      </c>
      <c r="D37" s="281">
        <f>+D36*'3a-SalesForecastYear1'!$D$13</f>
        <v/>
      </c>
      <c r="E37" s="281">
        <f>+E36*'3a-SalesForecastYear1'!$D$13</f>
        <v/>
      </c>
      <c r="F37" s="281">
        <f>+F36*'3a-SalesForecastYear1'!$D$13</f>
        <v/>
      </c>
      <c r="G37" s="281">
        <f>+G36*'3a-SalesForecastYear1'!$D$13</f>
        <v/>
      </c>
      <c r="H37" s="281">
        <f>+H36*'3a-SalesForecastYear1'!$D$13</f>
        <v/>
      </c>
      <c r="I37" s="281">
        <f>+I36*'3a-SalesForecastYear1'!$D$13</f>
        <v/>
      </c>
      <c r="J37" s="281">
        <f>+J36*'3a-SalesForecastYear1'!$D$13</f>
        <v/>
      </c>
      <c r="K37" s="281">
        <f>+K36*'3a-SalesForecastYear1'!$D$13</f>
        <v/>
      </c>
      <c r="L37" s="281">
        <f>+L36*'3a-SalesForecastYear1'!$D$13</f>
        <v/>
      </c>
      <c r="M37" s="281">
        <f>+M36*'3a-SalesForecastYear1'!$D$13</f>
        <v/>
      </c>
      <c r="N37" s="281">
        <f>+N36*'3a-SalesForecastYear1'!$D$13</f>
        <v/>
      </c>
      <c r="O37" s="111">
        <f>SUM(C37:N37)</f>
        <v/>
      </c>
      <c r="P37" s="290">
        <f>(P38+P39)</f>
        <v/>
      </c>
      <c r="Q37" s="289">
        <f>IF($O$47=0,0,O37/$O$47)</f>
        <v/>
      </c>
      <c r="R37" s="281">
        <f>+R36*'3a-SalesForecastYear1'!$D$13</f>
        <v/>
      </c>
      <c r="S37" s="281">
        <f>+S36*'3a-SalesForecastYear1'!$D$13</f>
        <v/>
      </c>
      <c r="T37" s="281">
        <f>+T36*'3a-SalesForecastYear1'!$D$13</f>
        <v/>
      </c>
      <c r="U37" s="281">
        <f>+U36*'3a-SalesForecastYear1'!$D$13</f>
        <v/>
      </c>
      <c r="V37" s="281">
        <f>+V36*'3a-SalesForecastYear1'!$D$13</f>
        <v/>
      </c>
      <c r="W37" s="281">
        <f>+W36*'3a-SalesForecastYear1'!$D$13</f>
        <v/>
      </c>
      <c r="X37" s="281">
        <f>+X36*'3a-SalesForecastYear1'!$D$13</f>
        <v/>
      </c>
      <c r="Y37" s="281">
        <f>+Y36*'3a-SalesForecastYear1'!$D$13</f>
        <v/>
      </c>
      <c r="Z37" s="281">
        <f>+Z36*'3a-SalesForecastYear1'!$D$13</f>
        <v/>
      </c>
      <c r="AA37" s="281">
        <f>+AA36*'3a-SalesForecastYear1'!$D$13</f>
        <v/>
      </c>
      <c r="AB37" s="281">
        <f>+AB36*'3a-SalesForecastYear1'!$D$13</f>
        <v/>
      </c>
      <c r="AC37" s="281">
        <f>+AC36*'3a-SalesForecastYear1'!$D$13</f>
        <v/>
      </c>
      <c r="AD37" s="111">
        <f>SUM(R37:AC37)</f>
        <v/>
      </c>
      <c r="AE37" s="290">
        <f>(AE38+AE39)</f>
        <v/>
      </c>
      <c r="AF37" s="289">
        <f>IF($AD$47=0,0,AD37/$AD$47)</f>
        <v/>
      </c>
    </row>
    <row r="38">
      <c r="A38" s="120" t="inlineStr">
        <is>
          <t>Total COGS</t>
        </is>
      </c>
      <c r="B38" s="277">
        <f>'3a-SalesForecastYear1'!O44</f>
        <v/>
      </c>
      <c r="C38" s="281">
        <f>+C36*'3a-SalesForecastYear1'!$E$13</f>
        <v/>
      </c>
      <c r="D38" s="281">
        <f>+D36*'3a-SalesForecastYear1'!$E$13</f>
        <v/>
      </c>
      <c r="E38" s="281">
        <f>+E36*'3a-SalesForecastYear1'!$E$13</f>
        <v/>
      </c>
      <c r="F38" s="281">
        <f>+F36*'3a-SalesForecastYear1'!$E$13</f>
        <v/>
      </c>
      <c r="G38" s="281">
        <f>+G36*'3a-SalesForecastYear1'!$E$13</f>
        <v/>
      </c>
      <c r="H38" s="281">
        <f>+H36*'3a-SalesForecastYear1'!$E$13</f>
        <v/>
      </c>
      <c r="I38" s="281">
        <f>+I36*'3a-SalesForecastYear1'!$E$13</f>
        <v/>
      </c>
      <c r="J38" s="281">
        <f>+J36*'3a-SalesForecastYear1'!$E$13</f>
        <v/>
      </c>
      <c r="K38" s="281">
        <f>+K36*'3a-SalesForecastYear1'!$E$13</f>
        <v/>
      </c>
      <c r="L38" s="281">
        <f>+L36*'3a-SalesForecastYear1'!$E$13</f>
        <v/>
      </c>
      <c r="M38" s="281">
        <f>+M36*'3a-SalesForecastYear1'!$E$13</f>
        <v/>
      </c>
      <c r="N38" s="281">
        <f>+N36*'3a-SalesForecastYear1'!$E$13</f>
        <v/>
      </c>
      <c r="O38" s="111">
        <f>SUM(C38:N38)</f>
        <v/>
      </c>
      <c r="P38" s="290">
        <f>IF(O37=0,0,O38/O37)</f>
        <v/>
      </c>
      <c r="Q38" s="289">
        <f>IF($O$48=0,0,O38/$O$48)</f>
        <v/>
      </c>
      <c r="R38" s="281">
        <f>+R36*'3a-SalesForecastYear1'!$E$13</f>
        <v/>
      </c>
      <c r="S38" s="281">
        <f>+S36*'3a-SalesForecastYear1'!$E$13</f>
        <v/>
      </c>
      <c r="T38" s="281">
        <f>+T36*'3a-SalesForecastYear1'!$E$13</f>
        <v/>
      </c>
      <c r="U38" s="281">
        <f>+U36*'3a-SalesForecastYear1'!$E$13</f>
        <v/>
      </c>
      <c r="V38" s="281">
        <f>+V36*'3a-SalesForecastYear1'!$E$13</f>
        <v/>
      </c>
      <c r="W38" s="281">
        <f>+W36*'3a-SalesForecastYear1'!$E$13</f>
        <v/>
      </c>
      <c r="X38" s="281">
        <f>+X36*'3a-SalesForecastYear1'!$E$13</f>
        <v/>
      </c>
      <c r="Y38" s="281">
        <f>+Y36*'3a-SalesForecastYear1'!$E$13</f>
        <v/>
      </c>
      <c r="Z38" s="281">
        <f>+Z36*'3a-SalesForecastYear1'!$E$13</f>
        <v/>
      </c>
      <c r="AA38" s="281">
        <f>+AA36*'3a-SalesForecastYear1'!$E$13</f>
        <v/>
      </c>
      <c r="AB38" s="281">
        <f>+AB36*'3a-SalesForecastYear1'!$E$13</f>
        <v/>
      </c>
      <c r="AC38" s="281">
        <f>+AC36*'3a-SalesForecastYear1'!$E$13</f>
        <v/>
      </c>
      <c r="AD38" s="111">
        <f>SUM(R38:AC38)</f>
        <v/>
      </c>
      <c r="AE38" s="290">
        <f>IF(AD37=0,0,AD38/AD37)</f>
        <v/>
      </c>
      <c r="AF38" s="289">
        <f>IF($AD$48=0,0,AD38/$AD$48)</f>
        <v/>
      </c>
    </row>
    <row r="39">
      <c r="A39" s="112" t="inlineStr">
        <is>
          <t>Margin</t>
        </is>
      </c>
      <c r="B39" s="276">
        <f>'3a-SalesForecastYear1'!O45</f>
        <v/>
      </c>
      <c r="C39" s="299">
        <f>C37-C38</f>
        <v/>
      </c>
      <c r="D39" s="299">
        <f>D37-D38</f>
        <v/>
      </c>
      <c r="E39" s="299">
        <f>E37-E38</f>
        <v/>
      </c>
      <c r="F39" s="299">
        <f>F37-F38</f>
        <v/>
      </c>
      <c r="G39" s="299">
        <f>G37-G38</f>
        <v/>
      </c>
      <c r="H39" s="299">
        <f>H37-H38</f>
        <v/>
      </c>
      <c r="I39" s="299">
        <f>I37-I38</f>
        <v/>
      </c>
      <c r="J39" s="299">
        <f>J37-J38</f>
        <v/>
      </c>
      <c r="K39" s="299">
        <f>K37-K38</f>
        <v/>
      </c>
      <c r="L39" s="299">
        <f>L37-L38</f>
        <v/>
      </c>
      <c r="M39" s="299">
        <f>M37-M38</f>
        <v/>
      </c>
      <c r="N39" s="299">
        <f>N37-N38</f>
        <v/>
      </c>
      <c r="O39" s="111">
        <f>SUM(C39:N39)</f>
        <v/>
      </c>
      <c r="P39" s="290">
        <f>IF(O37=0,0,O39/O37)</f>
        <v/>
      </c>
      <c r="Q39" s="289">
        <f>IF($O$49=0,0,O39/$O$49)</f>
        <v/>
      </c>
      <c r="R39" s="281">
        <f>R37-R38</f>
        <v/>
      </c>
      <c r="S39" s="281">
        <f>S37-S38</f>
        <v/>
      </c>
      <c r="T39" s="281">
        <f>T37-T38</f>
        <v/>
      </c>
      <c r="U39" s="281">
        <f>U37-U38</f>
        <v/>
      </c>
      <c r="V39" s="281">
        <f>V37-V38</f>
        <v/>
      </c>
      <c r="W39" s="281">
        <f>W37-W38</f>
        <v/>
      </c>
      <c r="X39" s="281">
        <f>X37-X38</f>
        <v/>
      </c>
      <c r="Y39" s="281">
        <f>Y37-Y38</f>
        <v/>
      </c>
      <c r="Z39" s="281">
        <f>Z37-Z38</f>
        <v/>
      </c>
      <c r="AA39" s="281">
        <f>AA37-AA38</f>
        <v/>
      </c>
      <c r="AB39" s="281">
        <f>AB37-AB38</f>
        <v/>
      </c>
      <c r="AC39" s="281">
        <f>AC37-AC38</f>
        <v/>
      </c>
      <c r="AD39" s="111">
        <f>SUM(R39:AC39)</f>
        <v/>
      </c>
      <c r="AE39" s="290">
        <f>IF(AD37=0,0,AD39/AD37)</f>
        <v/>
      </c>
      <c r="AF39" s="289">
        <f>IF($AD$49=0,0,AD39/$AD$49)</f>
        <v/>
      </c>
    </row>
    <row r="40">
      <c r="A40" s="123" t="n"/>
      <c r="B40" s="273" t="n"/>
      <c r="C40" s="125" t="n"/>
      <c r="D40" s="125" t="n"/>
      <c r="E40" s="125" t="n"/>
      <c r="F40" s="125" t="n"/>
      <c r="G40" s="125" t="n"/>
      <c r="H40" s="125" t="n"/>
      <c r="I40" s="125" t="n"/>
      <c r="J40" s="125" t="n"/>
      <c r="K40" s="125" t="n"/>
      <c r="L40" s="125" t="n"/>
      <c r="M40" s="125" t="n"/>
      <c r="N40" s="125" t="n"/>
      <c r="O40" s="108" t="n"/>
      <c r="P40" s="7" t="n"/>
      <c r="Q40" s="109" t="n"/>
      <c r="R40" s="125" t="n"/>
      <c r="S40" s="125" t="n"/>
      <c r="T40" s="125" t="n"/>
      <c r="U40" s="125" t="n"/>
      <c r="V40" s="125" t="n"/>
      <c r="W40" s="125" t="n"/>
      <c r="X40" s="125" t="n"/>
      <c r="Y40" s="125" t="n"/>
      <c r="Z40" s="125" t="n"/>
      <c r="AA40" s="125" t="n"/>
      <c r="AB40" s="125" t="n"/>
      <c r="AC40" s="125" t="n"/>
      <c r="AD40" s="108" t="n"/>
      <c r="AE40" s="7" t="n"/>
      <c r="AF40" s="109" t="n"/>
    </row>
    <row r="41">
      <c r="A41" s="117">
        <f>'3a-SalesForecastYear1'!B47</f>
        <v/>
      </c>
      <c r="B41" s="117" t="n"/>
      <c r="C41" s="126" t="n"/>
      <c r="D41" s="126" t="n"/>
      <c r="E41" s="126" t="n"/>
      <c r="F41" s="126" t="n"/>
      <c r="G41" s="126" t="n"/>
      <c r="H41" s="126" t="n"/>
      <c r="I41" s="126" t="n"/>
      <c r="J41" s="126" t="n"/>
      <c r="K41" s="126" t="n"/>
      <c r="L41" s="126" t="n"/>
      <c r="M41" s="126" t="n"/>
      <c r="N41" s="126" t="n"/>
      <c r="O41" s="119" t="n"/>
      <c r="P41" s="7" t="n"/>
      <c r="Q41" s="109" t="n"/>
      <c r="R41" s="126" t="n"/>
      <c r="S41" s="126" t="n"/>
      <c r="T41" s="126" t="n"/>
      <c r="U41" s="126" t="n"/>
      <c r="V41" s="126" t="n"/>
      <c r="W41" s="126" t="n"/>
      <c r="X41" s="126" t="n"/>
      <c r="Y41" s="126" t="n"/>
      <c r="Z41" s="126" t="n"/>
      <c r="AA41" s="126" t="n"/>
      <c r="AB41" s="126" t="n"/>
      <c r="AC41" s="126" t="n"/>
      <c r="AD41" s="119" t="n"/>
      <c r="AE41" s="7" t="n"/>
      <c r="AF41" s="109" t="n"/>
    </row>
    <row r="42">
      <c r="A42" s="107">
        <f>Unit6&amp; " Sold"</f>
        <v/>
      </c>
      <c r="B42" s="107">
        <f>Unit6_Annual</f>
        <v/>
      </c>
      <c r="C42" s="280">
        <f>'3a-SalesForecastYear1'!N48</f>
        <v/>
      </c>
      <c r="D42" s="279">
        <f>C42+C42*$C$7</f>
        <v/>
      </c>
      <c r="E42" s="279">
        <f>D42+D42*$C$7</f>
        <v/>
      </c>
      <c r="F42" s="279">
        <f>E42+E42*$C$7</f>
        <v/>
      </c>
      <c r="G42" s="279">
        <f>F42+F42*$C$7</f>
        <v/>
      </c>
      <c r="H42" s="279">
        <f>G42+G42*$C$7</f>
        <v/>
      </c>
      <c r="I42" s="279">
        <f>H42+H42*$C$7</f>
        <v/>
      </c>
      <c r="J42" s="279">
        <f>I42+I42*$C$7</f>
        <v/>
      </c>
      <c r="K42" s="279">
        <f>J42+J42*$C$7</f>
        <v/>
      </c>
      <c r="L42" s="279">
        <f>K42+K42*$C$7</f>
        <v/>
      </c>
      <c r="M42" s="279">
        <f>L42+L42*$C$7</f>
        <v/>
      </c>
      <c r="N42" s="279">
        <f>M42+M42*$C$7</f>
        <v/>
      </c>
      <c r="O42" s="297">
        <f>SUM(C42:N42)</f>
        <v/>
      </c>
      <c r="P42" s="7" t="n"/>
      <c r="Q42" s="289">
        <f>IF($O$46=0,0,O42/$O$46)</f>
        <v/>
      </c>
      <c r="R42" s="279">
        <f>N42</f>
        <v/>
      </c>
      <c r="S42" s="279">
        <f>R42+R42*$C$8</f>
        <v/>
      </c>
      <c r="T42" s="279">
        <f>S42+S42*$C$8</f>
        <v/>
      </c>
      <c r="U42" s="279">
        <f>T42+T42*$C$8</f>
        <v/>
      </c>
      <c r="V42" s="279">
        <f>U42+U42*$C$8</f>
        <v/>
      </c>
      <c r="W42" s="279">
        <f>V42+V42*$C$8</f>
        <v/>
      </c>
      <c r="X42" s="279">
        <f>W42+W42*$C$8</f>
        <v/>
      </c>
      <c r="Y42" s="279">
        <f>X42+X42*$C$8</f>
        <v/>
      </c>
      <c r="Z42" s="279">
        <f>Y42+Y42*$C$8</f>
        <v/>
      </c>
      <c r="AA42" s="279">
        <f>Z42+Z42*$C$8</f>
        <v/>
      </c>
      <c r="AB42" s="279">
        <f>AA42+AA42*$C$8</f>
        <v/>
      </c>
      <c r="AC42" s="279">
        <f>AB42+AB42*$C$8</f>
        <v/>
      </c>
      <c r="AD42" s="297">
        <f>SUM(R42:AC42)</f>
        <v/>
      </c>
      <c r="AE42" s="7" t="n"/>
      <c r="AF42" s="289">
        <f>IF($AD$46=0,0,AD42/$AD$46)</f>
        <v/>
      </c>
    </row>
    <row r="43">
      <c r="A43" s="120" t="inlineStr">
        <is>
          <t>Total Sales</t>
        </is>
      </c>
      <c r="B43" s="277">
        <f>Category6_Annual_Sales</f>
        <v/>
      </c>
      <c r="C43" s="281">
        <f>+C42*'3a-SalesForecastYear1'!$D$14</f>
        <v/>
      </c>
      <c r="D43" s="281">
        <f>+D42*'3a-SalesForecastYear1'!$D$14</f>
        <v/>
      </c>
      <c r="E43" s="281">
        <f>+E42*'3a-SalesForecastYear1'!$D$14</f>
        <v/>
      </c>
      <c r="F43" s="281">
        <f>+F42*'3a-SalesForecastYear1'!$D$14</f>
        <v/>
      </c>
      <c r="G43" s="281">
        <f>+G42*'3a-SalesForecastYear1'!$D$14</f>
        <v/>
      </c>
      <c r="H43" s="281">
        <f>+H42*'3a-SalesForecastYear1'!$D$14</f>
        <v/>
      </c>
      <c r="I43" s="281">
        <f>+I42*'3a-SalesForecastYear1'!$D$14</f>
        <v/>
      </c>
      <c r="J43" s="281">
        <f>+J42*'3a-SalesForecastYear1'!$D$14</f>
        <v/>
      </c>
      <c r="K43" s="281">
        <f>+K42*'3a-SalesForecastYear1'!$D$14</f>
        <v/>
      </c>
      <c r="L43" s="281">
        <f>+L42*'3a-SalesForecastYear1'!$D$14</f>
        <v/>
      </c>
      <c r="M43" s="281">
        <f>+M42*'3a-SalesForecastYear1'!$D$14</f>
        <v/>
      </c>
      <c r="N43" s="281">
        <f>+N42*'3a-SalesForecastYear1'!$D$14</f>
        <v/>
      </c>
      <c r="O43" s="111">
        <f>SUM(C43:N43)</f>
        <v/>
      </c>
      <c r="P43" s="290">
        <f>(P44+P45)</f>
        <v/>
      </c>
      <c r="Q43" s="289">
        <f>IF($O$47=0,0,O43/$O$47)</f>
        <v/>
      </c>
      <c r="R43" s="281">
        <f>+R42*'3a-SalesForecastYear1'!$D$14</f>
        <v/>
      </c>
      <c r="S43" s="281">
        <f>+S42*'3a-SalesForecastYear1'!$D$14</f>
        <v/>
      </c>
      <c r="T43" s="281">
        <f>+T42*'3a-SalesForecastYear1'!$D$14</f>
        <v/>
      </c>
      <c r="U43" s="281">
        <f>+U42*'3a-SalesForecastYear1'!$D$14</f>
        <v/>
      </c>
      <c r="V43" s="281">
        <f>+V42*'3a-SalesForecastYear1'!$D$14</f>
        <v/>
      </c>
      <c r="W43" s="281">
        <f>+W42*'3a-SalesForecastYear1'!$D$14</f>
        <v/>
      </c>
      <c r="X43" s="281">
        <f>+X42*'3a-SalesForecastYear1'!$D$14</f>
        <v/>
      </c>
      <c r="Y43" s="281">
        <f>+Y42*'3a-SalesForecastYear1'!$D$14</f>
        <v/>
      </c>
      <c r="Z43" s="281">
        <f>+Z42*'3a-SalesForecastYear1'!$D$14</f>
        <v/>
      </c>
      <c r="AA43" s="281">
        <f>+AA42*'3a-SalesForecastYear1'!$D$14</f>
        <v/>
      </c>
      <c r="AB43" s="281">
        <f>+AB42*'3a-SalesForecastYear1'!$D$14</f>
        <v/>
      </c>
      <c r="AC43" s="281">
        <f>+AC42*'3a-SalesForecastYear1'!$D$14</f>
        <v/>
      </c>
      <c r="AD43" s="111">
        <f>SUM(R43:AC43)</f>
        <v/>
      </c>
      <c r="AE43" s="290">
        <f>(AE44+AE45)</f>
        <v/>
      </c>
      <c r="AF43" s="289">
        <f>IF($AD$47=0,0,AD43/$AD$47)</f>
        <v/>
      </c>
    </row>
    <row r="44">
      <c r="A44" s="127" t="inlineStr">
        <is>
          <t>Total COGS</t>
        </is>
      </c>
      <c r="B44" s="275">
        <f>'3a-SalesForecastYear1'!O50</f>
        <v/>
      </c>
      <c r="C44" s="281">
        <f>+C42*'3a-SalesForecastYear1'!$E$14</f>
        <v/>
      </c>
      <c r="D44" s="281">
        <f>+D42*'3a-SalesForecastYear1'!$E$14</f>
        <v/>
      </c>
      <c r="E44" s="281">
        <f>+E42*'3a-SalesForecastYear1'!$E$14</f>
        <v/>
      </c>
      <c r="F44" s="281">
        <f>+F42*'3a-SalesForecastYear1'!$E$14</f>
        <v/>
      </c>
      <c r="G44" s="281">
        <f>+G42*'3a-SalesForecastYear1'!$E$14</f>
        <v/>
      </c>
      <c r="H44" s="281">
        <f>+H42*'3a-SalesForecastYear1'!$E$14</f>
        <v/>
      </c>
      <c r="I44" s="281">
        <f>+I42*'3a-SalesForecastYear1'!$E$14</f>
        <v/>
      </c>
      <c r="J44" s="281">
        <f>+J42*'3a-SalesForecastYear1'!$E$14</f>
        <v/>
      </c>
      <c r="K44" s="281">
        <f>+K42*'3a-SalesForecastYear1'!$E$14</f>
        <v/>
      </c>
      <c r="L44" s="281">
        <f>+L42*'3a-SalesForecastYear1'!$E$14</f>
        <v/>
      </c>
      <c r="M44" s="281">
        <f>+M42*'3a-SalesForecastYear1'!$E$14</f>
        <v/>
      </c>
      <c r="N44" s="281">
        <f>+N42*'3a-SalesForecastYear1'!$E$14</f>
        <v/>
      </c>
      <c r="O44" s="111">
        <f>SUM(C44:N44)</f>
        <v/>
      </c>
      <c r="P44" s="290">
        <f>IF(O43=0,0,O44/O43)</f>
        <v/>
      </c>
      <c r="Q44" s="289">
        <f>IF($O$48=0,0,O44/$O$48)</f>
        <v/>
      </c>
      <c r="R44" s="281">
        <f>+R42*'3a-SalesForecastYear1'!$E$14</f>
        <v/>
      </c>
      <c r="S44" s="281">
        <f>+S42*'3a-SalesForecastYear1'!$E$14</f>
        <v/>
      </c>
      <c r="T44" s="281">
        <f>+T42*'3a-SalesForecastYear1'!$E$14</f>
        <v/>
      </c>
      <c r="U44" s="281">
        <f>+U42*'3a-SalesForecastYear1'!$E$14</f>
        <v/>
      </c>
      <c r="V44" s="281">
        <f>+V42*'3a-SalesForecastYear1'!$E$14</f>
        <v/>
      </c>
      <c r="W44" s="281">
        <f>+W42*'3a-SalesForecastYear1'!$E$14</f>
        <v/>
      </c>
      <c r="X44" s="281">
        <f>+X42*'3a-SalesForecastYear1'!$E$14</f>
        <v/>
      </c>
      <c r="Y44" s="281">
        <f>+Y42*'3a-SalesForecastYear1'!$E$14</f>
        <v/>
      </c>
      <c r="Z44" s="281">
        <f>+Z42*'3a-SalesForecastYear1'!$E$14</f>
        <v/>
      </c>
      <c r="AA44" s="281">
        <f>+AA42*'3a-SalesForecastYear1'!$E$14</f>
        <v/>
      </c>
      <c r="AB44" s="281">
        <f>+AB42*'3a-SalesForecastYear1'!$E$14</f>
        <v/>
      </c>
      <c r="AC44" s="281">
        <f>+AC42*'3a-SalesForecastYear1'!$E$14</f>
        <v/>
      </c>
      <c r="AD44" s="111">
        <f>SUM(R44:AC44)</f>
        <v/>
      </c>
      <c r="AE44" s="290">
        <f>IF(AD43=0,0,AD44/AD43)</f>
        <v/>
      </c>
      <c r="AF44" s="289">
        <f>IF($AD$48=0,0,AD44/$AD$48)</f>
        <v/>
      </c>
    </row>
    <row r="45">
      <c r="A45" s="110" t="inlineStr">
        <is>
          <t>Margin</t>
        </is>
      </c>
      <c r="B45" s="278">
        <f>'3a-SalesForecastYear1'!O51</f>
        <v/>
      </c>
      <c r="C45" s="281">
        <f>C43-C44</f>
        <v/>
      </c>
      <c r="D45" s="281">
        <f>D43-D44</f>
        <v/>
      </c>
      <c r="E45" s="281">
        <f>E43-E44</f>
        <v/>
      </c>
      <c r="F45" s="281">
        <f>F43-F44</f>
        <v/>
      </c>
      <c r="G45" s="281">
        <f>G43-G44</f>
        <v/>
      </c>
      <c r="H45" s="281">
        <f>H43-H44</f>
        <v/>
      </c>
      <c r="I45" s="281">
        <f>I43-I44</f>
        <v/>
      </c>
      <c r="J45" s="281">
        <f>J43-J44</f>
        <v/>
      </c>
      <c r="K45" s="281">
        <f>K43-K44</f>
        <v/>
      </c>
      <c r="L45" s="281">
        <f>L43-L44</f>
        <v/>
      </c>
      <c r="M45" s="281">
        <f>M43-M44</f>
        <v/>
      </c>
      <c r="N45" s="281">
        <f>N43-N44</f>
        <v/>
      </c>
      <c r="O45" s="111">
        <f>SUM(C45:N45)</f>
        <v/>
      </c>
      <c r="P45" s="290">
        <f>IF(O43=0,0,O45/O43)</f>
        <v/>
      </c>
      <c r="Q45" s="289">
        <f>IF($O$49=0,0,O45/$O$49)</f>
        <v/>
      </c>
      <c r="R45" s="281">
        <f>R43-R44</f>
        <v/>
      </c>
      <c r="S45" s="281">
        <f>S43-S44</f>
        <v/>
      </c>
      <c r="T45" s="281">
        <f>T43-T44</f>
        <v/>
      </c>
      <c r="U45" s="281">
        <f>U43-U44</f>
        <v/>
      </c>
      <c r="V45" s="281">
        <f>V43-V44</f>
        <v/>
      </c>
      <c r="W45" s="281">
        <f>W43-W44</f>
        <v/>
      </c>
      <c r="X45" s="281">
        <f>X43-X44</f>
        <v/>
      </c>
      <c r="Y45" s="281">
        <f>Y43-Y44</f>
        <v/>
      </c>
      <c r="Z45" s="281">
        <f>Z43-Z44</f>
        <v/>
      </c>
      <c r="AA45" s="281">
        <f>AA43-AA44</f>
        <v/>
      </c>
      <c r="AB45" s="281">
        <f>AB43-AB44</f>
        <v/>
      </c>
      <c r="AC45" s="281">
        <f>AC43-AC44</f>
        <v/>
      </c>
      <c r="AD45" s="111">
        <f>SUM(R45:AC45)</f>
        <v/>
      </c>
      <c r="AE45" s="290">
        <f>IF(AD43=0,0,AD45/AD43)</f>
        <v/>
      </c>
      <c r="AF45" s="289">
        <f>IF($AD$49=0,0,AD45/$AD$49)</f>
        <v/>
      </c>
    </row>
    <row r="46">
      <c r="A46" s="128" t="inlineStr">
        <is>
          <t>Total Units Sold</t>
        </is>
      </c>
      <c r="B46" s="128">
        <f>Units_Annual_Total</f>
        <v/>
      </c>
      <c r="C46" s="296">
        <f>C12+C18+C24+C30+C36+C42</f>
        <v/>
      </c>
      <c r="D46" s="296">
        <f>D12+D18+D24+D30+D36+D42</f>
        <v/>
      </c>
      <c r="E46" s="296">
        <f>E12+E18+E24+E30+E36+E42</f>
        <v/>
      </c>
      <c r="F46" s="296">
        <f>F12+F18+F24+F30+F36+F42</f>
        <v/>
      </c>
      <c r="G46" s="296">
        <f>G12+G18+G24+G30+G36+G42</f>
        <v/>
      </c>
      <c r="H46" s="296">
        <f>H12+H18+H24+H30+H36+H42</f>
        <v/>
      </c>
      <c r="I46" s="296">
        <f>I12+I18+I24+I30+I36+I42</f>
        <v/>
      </c>
      <c r="J46" s="296">
        <f>J12+J18+J24+J30+J36+J42</f>
        <v/>
      </c>
      <c r="K46" s="296">
        <f>K12+K18+K24+K30+K36+K42</f>
        <v/>
      </c>
      <c r="L46" s="296">
        <f>L12+L18+L24+L30+L36+L42</f>
        <v/>
      </c>
      <c r="M46" s="296">
        <f>M12+M18+M24+M30+M36+M42</f>
        <v/>
      </c>
      <c r="N46" s="296">
        <f>N12+N18+N24+N30+N36+N42</f>
        <v/>
      </c>
      <c r="O46" s="297">
        <f>SUM(C46:N46)</f>
        <v/>
      </c>
      <c r="P46" s="7" t="n"/>
      <c r="Q46" s="109" t="n"/>
      <c r="R46" s="296">
        <f>R12+R18+R24+R30+R36+R42</f>
        <v/>
      </c>
      <c r="S46" s="296">
        <f>S12+S18+S24+S30+S36+S42</f>
        <v/>
      </c>
      <c r="T46" s="296">
        <f>T12+T18+T24+T30+T36+T42</f>
        <v/>
      </c>
      <c r="U46" s="296">
        <f>U12+U18+U24+U30+U36+U42</f>
        <v/>
      </c>
      <c r="V46" s="296">
        <f>V12+V18+V24+V30+V36+V42</f>
        <v/>
      </c>
      <c r="W46" s="296">
        <f>W12+W18+W24+W30+W36+W42</f>
        <v/>
      </c>
      <c r="X46" s="296">
        <f>X12+X18+X24+X30+X36+X42</f>
        <v/>
      </c>
      <c r="Y46" s="296">
        <f>Y12+Y18+Y24+Y30+Y36+Y42</f>
        <v/>
      </c>
      <c r="Z46" s="296">
        <f>Z12+Z18+Z24+Z30+Z36+Z42</f>
        <v/>
      </c>
      <c r="AA46" s="296">
        <f>AA12+AA18+AA24+AA30+AA36+AA42</f>
        <v/>
      </c>
      <c r="AB46" s="296">
        <f>AB12+AB18+AB24+AB30+AB36+AB42</f>
        <v/>
      </c>
      <c r="AC46" s="296">
        <f>AC12+AC18+AC24+AC30+AC36+AC42</f>
        <v/>
      </c>
      <c r="AD46" s="297">
        <f>SUM(R46:AC46)</f>
        <v/>
      </c>
      <c r="AE46" s="7" t="n"/>
      <c r="AF46" s="109" t="n"/>
    </row>
    <row r="47">
      <c r="A47" s="129" t="inlineStr">
        <is>
          <t>Total Sales</t>
        </is>
      </c>
      <c r="B47" s="111">
        <f>Sales_Annual_Total</f>
        <v/>
      </c>
      <c r="C47" s="130">
        <f>C13+C19+C25+C31+C37+C43</f>
        <v/>
      </c>
      <c r="D47" s="130">
        <f>D13+D19+D25+D31+D37+D43</f>
        <v/>
      </c>
      <c r="E47" s="130">
        <f>E13+E19+E25+E31+E37+E43</f>
        <v/>
      </c>
      <c r="F47" s="130">
        <f>F13+F19+F25+F31+F37+F43</f>
        <v/>
      </c>
      <c r="G47" s="130">
        <f>G13+G19+G25+G31+G37+G43</f>
        <v/>
      </c>
      <c r="H47" s="130">
        <f>H13+H19+H25+H31+H37+H43</f>
        <v/>
      </c>
      <c r="I47" s="130">
        <f>I13+I19+I25+I31+I37+I43</f>
        <v/>
      </c>
      <c r="J47" s="130">
        <f>J13+J19+J25+J31+J37+J43</f>
        <v/>
      </c>
      <c r="K47" s="130">
        <f>K13+K19+K25+K31+K37+K43</f>
        <v/>
      </c>
      <c r="L47" s="130">
        <f>L13+L19+L25+L31+L37+L43</f>
        <v/>
      </c>
      <c r="M47" s="130">
        <f>M13+M19+M25+M31+M37+M43</f>
        <v/>
      </c>
      <c r="N47" s="130">
        <f>N13+N19+N25+N31+N37+N43</f>
        <v/>
      </c>
      <c r="O47" s="111">
        <f>SUM(C47:N47)</f>
        <v/>
      </c>
      <c r="P47" s="7" t="n"/>
      <c r="Q47" s="109" t="n"/>
      <c r="R47" s="130">
        <f>R13+R19+R25+R31+R37+R43</f>
        <v/>
      </c>
      <c r="S47" s="130">
        <f>S13+S19+S25+S31+S37+S43</f>
        <v/>
      </c>
      <c r="T47" s="130">
        <f>T13+T19+T25+T31+T37+T43</f>
        <v/>
      </c>
      <c r="U47" s="130">
        <f>U13+U19+U25+U31+U37+U43</f>
        <v/>
      </c>
      <c r="V47" s="130">
        <f>V13+V19+V25+V31+V37+V43</f>
        <v/>
      </c>
      <c r="W47" s="130">
        <f>W13+W19+W25+W31+W37+W43</f>
        <v/>
      </c>
      <c r="X47" s="130">
        <f>X13+X19+X25+X31+X37+X43</f>
        <v/>
      </c>
      <c r="Y47" s="130">
        <f>Y13+Y19+Y25+Y31+Y37+Y43</f>
        <v/>
      </c>
      <c r="Z47" s="130">
        <f>Z13+Z19+Z25+Z31+Z37+Z43</f>
        <v/>
      </c>
      <c r="AA47" s="130">
        <f>AA13+AA19+AA25+AA31+AA37+AA43</f>
        <v/>
      </c>
      <c r="AB47" s="130">
        <f>AB13+AB19+AB25+AB31+AB37+AB43</f>
        <v/>
      </c>
      <c r="AC47" s="130">
        <f>AC13+AC19+AC25+AC31+AC37+AC43</f>
        <v/>
      </c>
      <c r="AD47" s="111">
        <f>SUM(R47:AC47)</f>
        <v/>
      </c>
      <c r="AE47" s="7" t="n"/>
      <c r="AF47" s="109" t="n"/>
    </row>
    <row r="48">
      <c r="A48" s="106" t="inlineStr">
        <is>
          <t>Total Cost of Goods Sold</t>
        </is>
      </c>
      <c r="B48" s="121">
        <f>COGS_Annual_Total</f>
        <v/>
      </c>
      <c r="C48" s="131">
        <f>C14+C20+C26+C32+C38+C44</f>
        <v/>
      </c>
      <c r="D48" s="131">
        <f>D14+D20+D26+D32+D38+D44</f>
        <v/>
      </c>
      <c r="E48" s="131">
        <f>E14+E20+E26+E32+E38+E44</f>
        <v/>
      </c>
      <c r="F48" s="131">
        <f>F14+F20+F26+F32+F38+F44</f>
        <v/>
      </c>
      <c r="G48" s="131">
        <f>G14+G20+G26+G32+G38+G44</f>
        <v/>
      </c>
      <c r="H48" s="131">
        <f>H14+H20+H26+H32+H38+H44</f>
        <v/>
      </c>
      <c r="I48" s="131">
        <f>I14+I20+I26+I32+I38+I44</f>
        <v/>
      </c>
      <c r="J48" s="131">
        <f>J14+J20+J26+J32+J38+J44</f>
        <v/>
      </c>
      <c r="K48" s="131">
        <f>K14+K20+K26+K32+K38+K44</f>
        <v/>
      </c>
      <c r="L48" s="131">
        <f>L14+L20+L26+L32+L38+L44</f>
        <v/>
      </c>
      <c r="M48" s="131">
        <f>M14+M20+M26+M32+M38+M44</f>
        <v/>
      </c>
      <c r="N48" s="131">
        <f>N14+N20+N26+N32+N38+N44</f>
        <v/>
      </c>
      <c r="O48" s="111">
        <f>SUM(C48:N48)</f>
        <v/>
      </c>
      <c r="P48" s="7" t="n"/>
      <c r="Q48" s="109" t="n"/>
      <c r="R48" s="131">
        <f>R14+R20+R26+R32+R38+R44</f>
        <v/>
      </c>
      <c r="S48" s="131">
        <f>S14+S20+S26+S32+S38+S44</f>
        <v/>
      </c>
      <c r="T48" s="131">
        <f>T14+T20+T26+T32+T38+T44</f>
        <v/>
      </c>
      <c r="U48" s="131">
        <f>U14+U20+U26+U32+U38+U44</f>
        <v/>
      </c>
      <c r="V48" s="131">
        <f>V14+V20+V26+V32+V38+V44</f>
        <v/>
      </c>
      <c r="W48" s="131">
        <f>W14+W20+W26+W32+W38+W44</f>
        <v/>
      </c>
      <c r="X48" s="131">
        <f>X14+X20+X26+X32+X38+X44</f>
        <v/>
      </c>
      <c r="Y48" s="131">
        <f>Y14+Y20+Y26+Y32+Y38+Y44</f>
        <v/>
      </c>
      <c r="Z48" s="131">
        <f>Z14+Z20+Z26+Z32+Z38+Z44</f>
        <v/>
      </c>
      <c r="AA48" s="131">
        <f>AA14+AA20+AA26+AA32+AA38+AA44</f>
        <v/>
      </c>
      <c r="AB48" s="131">
        <f>AB14+AB20+AB26+AB32+AB38+AB44</f>
        <v/>
      </c>
      <c r="AC48" s="131">
        <f>AC14+AC20+AC26+AC32+AC38+AC44</f>
        <v/>
      </c>
      <c r="AD48" s="111">
        <f>SUM(R48:AC48)</f>
        <v/>
      </c>
      <c r="AE48" s="7" t="n"/>
      <c r="AF48" s="109" t="n"/>
    </row>
    <row r="49">
      <c r="A49" s="106" t="inlineStr">
        <is>
          <t>Total Margin</t>
        </is>
      </c>
      <c r="B49" s="121">
        <f>Margin_Annual_Total</f>
        <v/>
      </c>
      <c r="C49" s="132">
        <f>C47-C48</f>
        <v/>
      </c>
      <c r="D49" s="132">
        <f>D47-D48</f>
        <v/>
      </c>
      <c r="E49" s="132">
        <f>E47-E48</f>
        <v/>
      </c>
      <c r="F49" s="132">
        <f>F47-F48</f>
        <v/>
      </c>
      <c r="G49" s="132">
        <f>G47-G48</f>
        <v/>
      </c>
      <c r="H49" s="132">
        <f>H47-H48</f>
        <v/>
      </c>
      <c r="I49" s="132">
        <f>I47-I48</f>
        <v/>
      </c>
      <c r="J49" s="132">
        <f>J47-J48</f>
        <v/>
      </c>
      <c r="K49" s="132">
        <f>K47-K48</f>
        <v/>
      </c>
      <c r="L49" s="132">
        <f>L47-L48</f>
        <v/>
      </c>
      <c r="M49" s="132">
        <f>M47-M48</f>
        <v/>
      </c>
      <c r="N49" s="132">
        <f>N47-N48</f>
        <v/>
      </c>
      <c r="O49" s="121">
        <f>O15+O21+O27+O33+O39+O45</f>
        <v/>
      </c>
      <c r="P49" s="7" t="n"/>
      <c r="Q49" s="109" t="n"/>
      <c r="R49" s="132">
        <f>R47-R48</f>
        <v/>
      </c>
      <c r="S49" s="132">
        <f>S47-S48</f>
        <v/>
      </c>
      <c r="T49" s="132">
        <f>T47-T48</f>
        <v/>
      </c>
      <c r="U49" s="132">
        <f>U47-U48</f>
        <v/>
      </c>
      <c r="V49" s="132">
        <f>V47-V48</f>
        <v/>
      </c>
      <c r="W49" s="132">
        <f>W47-W48</f>
        <v/>
      </c>
      <c r="X49" s="132">
        <f>X47-X48</f>
        <v/>
      </c>
      <c r="Y49" s="132">
        <f>Y47-Y48</f>
        <v/>
      </c>
      <c r="Z49" s="132">
        <f>Z47-Z48</f>
        <v/>
      </c>
      <c r="AA49" s="132">
        <f>AA47-AA48</f>
        <v/>
      </c>
      <c r="AB49" s="132">
        <f>AB47-AB48</f>
        <v/>
      </c>
      <c r="AC49" s="132">
        <f>AC47-AC48</f>
        <v/>
      </c>
      <c r="AD49" s="121">
        <f>AD15+AD21+AD27+AD33+AD39+AD45</f>
        <v/>
      </c>
      <c r="AE49" s="7" t="n"/>
      <c r="AF49" s="109" t="n"/>
    </row>
  </sheetData>
  <sheetProtection selectLockedCells="0" selectUnlockedCells="0" algorithmName="SHA-512" sheet="1" objects="0" insertRows="1" insertHyperlinks="1" autoFilter="1" scenarios="0" formatColumns="0" deleteColumns="1" insertColumns="1" pivotTables="1" deleteRows="1" formatCells="1" saltValue="3tk5TUqKvxSAHtU21MqUmg==" formatRows="1" sort="1" spinCount="100000" hashValue="ikelmI1yMClOPSLuYU8pdsgW05XTU4IPSrSJjEqsc7UO/WQknZcqPfGnmyn5lVw23RxdUPeyKejZ88g8+PhFjA=="/>
  <mergeCells count="1">
    <mergeCell ref="C5:D5"/>
  </mergeCells>
  <conditionalFormatting sqref="C13:N15">
    <cfRule type="containsBlanks" priority="50" dxfId="0" stopIfTrue="1">
      <formula>LEN(TRIM(C13))=0</formula>
    </cfRule>
  </conditionalFormatting>
  <conditionalFormatting sqref="C21:N21">
    <cfRule type="containsBlanks" priority="51" dxfId="0" stopIfTrue="1">
      <formula>LEN(TRIM(C21))=0</formula>
    </cfRule>
  </conditionalFormatting>
  <conditionalFormatting sqref="C24 C27:N27 C30 C33:N33 C36 C39:N39 C42">
    <cfRule type="containsBlanks" priority="52" dxfId="0" stopIfTrue="1">
      <formula>LEN(TRIM(C24))=0</formula>
    </cfRule>
  </conditionalFormatting>
  <conditionalFormatting sqref="R12">
    <cfRule type="containsBlanks" priority="47" dxfId="0" stopIfTrue="1">
      <formula>LEN(TRIM(R12))=0</formula>
    </cfRule>
  </conditionalFormatting>
  <conditionalFormatting sqref="R13:AC14">
    <cfRule type="containsBlanks" priority="46" dxfId="0" stopIfTrue="1">
      <formula>LEN(TRIM(R13))=0</formula>
    </cfRule>
  </conditionalFormatting>
  <conditionalFormatting sqref="C19:C20">
    <cfRule type="containsBlanks" priority="45" dxfId="0" stopIfTrue="1">
      <formula>LEN(TRIM(C19))=0</formula>
    </cfRule>
  </conditionalFormatting>
  <conditionalFormatting sqref="C25:C26">
    <cfRule type="containsBlanks" priority="42" dxfId="0" stopIfTrue="1">
      <formula>LEN(TRIM(C25))=0</formula>
    </cfRule>
  </conditionalFormatting>
  <conditionalFormatting sqref="C31:C32">
    <cfRule type="containsBlanks" priority="39" dxfId="0" stopIfTrue="1">
      <formula>LEN(TRIM(C31))=0</formula>
    </cfRule>
  </conditionalFormatting>
  <conditionalFormatting sqref="C37:C38">
    <cfRule type="containsBlanks" priority="36" dxfId="0" stopIfTrue="1">
      <formula>LEN(TRIM(C37))=0</formula>
    </cfRule>
  </conditionalFormatting>
  <conditionalFormatting sqref="C43:C44">
    <cfRule type="containsBlanks" priority="33" dxfId="0" stopIfTrue="1">
      <formula>LEN(TRIM(C43))=0</formula>
    </cfRule>
  </conditionalFormatting>
  <conditionalFormatting sqref="D19:N20">
    <cfRule type="containsBlanks" priority="30" dxfId="0" stopIfTrue="1">
      <formula>LEN(TRIM(D19))=0</formula>
    </cfRule>
  </conditionalFormatting>
  <conditionalFormatting sqref="R19:AC20">
    <cfRule type="containsBlanks" priority="29" dxfId="0" stopIfTrue="1">
      <formula>LEN(TRIM(R19))=0</formula>
    </cfRule>
  </conditionalFormatting>
  <conditionalFormatting sqref="D25:N26">
    <cfRule type="containsBlanks" priority="28" dxfId="0" stopIfTrue="1">
      <formula>LEN(TRIM(D25))=0</formula>
    </cfRule>
  </conditionalFormatting>
  <conditionalFormatting sqref="R25:AC26">
    <cfRule type="containsBlanks" priority="27" dxfId="0" stopIfTrue="1">
      <formula>LEN(TRIM(R25))=0</formula>
    </cfRule>
  </conditionalFormatting>
  <conditionalFormatting sqref="D31:N32">
    <cfRule type="containsBlanks" priority="26" dxfId="0" stopIfTrue="1">
      <formula>LEN(TRIM(D31))=0</formula>
    </cfRule>
  </conditionalFormatting>
  <conditionalFormatting sqref="R31:AC32">
    <cfRule type="containsBlanks" priority="25" dxfId="0" stopIfTrue="1">
      <formula>LEN(TRIM(R31))=0</formula>
    </cfRule>
  </conditionalFormatting>
  <conditionalFormatting sqref="D37:N38">
    <cfRule type="containsBlanks" priority="24" dxfId="0" stopIfTrue="1">
      <formula>LEN(TRIM(D37))=0</formula>
    </cfRule>
  </conditionalFormatting>
  <conditionalFormatting sqref="R37:AC38">
    <cfRule type="containsBlanks" priority="23" dxfId="0" stopIfTrue="1">
      <formula>LEN(TRIM(R37))=0</formula>
    </cfRule>
  </conditionalFormatting>
  <conditionalFormatting sqref="D43:N44">
    <cfRule type="containsBlanks" priority="22" dxfId="0" stopIfTrue="1">
      <formula>LEN(TRIM(D43))=0</formula>
    </cfRule>
  </conditionalFormatting>
  <conditionalFormatting sqref="R43:AC44">
    <cfRule type="containsBlanks" priority="21" dxfId="0" stopIfTrue="1">
      <formula>LEN(TRIM(R43))=0</formula>
    </cfRule>
  </conditionalFormatting>
  <conditionalFormatting sqref="C12:N12">
    <cfRule type="containsBlanks" priority="19" dxfId="0" stopIfTrue="1">
      <formula>LEN(TRIM(C12))=0</formula>
    </cfRule>
  </conditionalFormatting>
  <conditionalFormatting sqref="C18">
    <cfRule type="containsBlanks" priority="18" dxfId="0" stopIfTrue="1">
      <formula>LEN(TRIM(C18))=0</formula>
    </cfRule>
  </conditionalFormatting>
  <conditionalFormatting sqref="D18:N18">
    <cfRule type="containsBlanks" priority="16" dxfId="0" stopIfTrue="1">
      <formula>LEN(TRIM(D18))=0</formula>
    </cfRule>
  </conditionalFormatting>
  <conditionalFormatting sqref="D24:N24">
    <cfRule type="containsBlanks" priority="15" dxfId="0" stopIfTrue="1">
      <formula>LEN(TRIM(D24))=0</formula>
    </cfRule>
  </conditionalFormatting>
  <conditionalFormatting sqref="D30:N30">
    <cfRule type="containsBlanks" priority="14" dxfId="0" stopIfTrue="1">
      <formula>LEN(TRIM(D30))=0</formula>
    </cfRule>
  </conditionalFormatting>
  <conditionalFormatting sqref="D36:N36">
    <cfRule type="containsBlanks" priority="13" dxfId="0" stopIfTrue="1">
      <formula>LEN(TRIM(D36))=0</formula>
    </cfRule>
  </conditionalFormatting>
  <conditionalFormatting sqref="D42:N42">
    <cfRule type="containsBlanks" priority="12" dxfId="0" stopIfTrue="1">
      <formula>LEN(TRIM(D42))=0</formula>
    </cfRule>
  </conditionalFormatting>
  <conditionalFormatting sqref="R18">
    <cfRule type="containsBlanks" priority="11" dxfId="0" stopIfTrue="1">
      <formula>LEN(TRIM(R18))=0</formula>
    </cfRule>
  </conditionalFormatting>
  <conditionalFormatting sqref="R24">
    <cfRule type="containsBlanks" priority="10" dxfId="0" stopIfTrue="1">
      <formula>LEN(TRIM(R24))=0</formula>
    </cfRule>
  </conditionalFormatting>
  <conditionalFormatting sqref="R30">
    <cfRule type="containsBlanks" priority="9" dxfId="0" stopIfTrue="1">
      <formula>LEN(TRIM(R30))=0</formula>
    </cfRule>
  </conditionalFormatting>
  <conditionalFormatting sqref="R36">
    <cfRule type="containsBlanks" priority="8" dxfId="0" stopIfTrue="1">
      <formula>LEN(TRIM(R36))=0</formula>
    </cfRule>
  </conditionalFormatting>
  <conditionalFormatting sqref="R42">
    <cfRule type="containsBlanks" priority="7" dxfId="0" stopIfTrue="1">
      <formula>LEN(TRIM(R42))=0</formula>
    </cfRule>
  </conditionalFormatting>
  <conditionalFormatting sqref="S12:AC12">
    <cfRule type="containsBlanks" priority="6" dxfId="0" stopIfTrue="1">
      <formula>LEN(TRIM(S12))=0</formula>
    </cfRule>
  </conditionalFormatting>
  <conditionalFormatting sqref="S18:AC18">
    <cfRule type="containsBlanks" priority="5" dxfId="0" stopIfTrue="1">
      <formula>LEN(TRIM(S18))=0</formula>
    </cfRule>
  </conditionalFormatting>
  <conditionalFormatting sqref="S24:AC24">
    <cfRule type="containsBlanks" priority="4" dxfId="0" stopIfTrue="1">
      <formula>LEN(TRIM(S24))=0</formula>
    </cfRule>
  </conditionalFormatting>
  <conditionalFormatting sqref="S30:AC30">
    <cfRule type="containsBlanks" priority="3" dxfId="0" stopIfTrue="1">
      <formula>LEN(TRIM(S30))=0</formula>
    </cfRule>
  </conditionalFormatting>
  <conditionalFormatting sqref="S36:AC36">
    <cfRule type="containsBlanks" priority="2" dxfId="0" stopIfTrue="1">
      <formula>LEN(TRIM(S36))=0</formula>
    </cfRule>
  </conditionalFormatting>
  <conditionalFormatting sqref="S42:AC42">
    <cfRule type="containsBlanks" priority="1" dxfId="0" stopIfTrue="1">
      <formula>LEN(TRIM(S42))=0</formula>
    </cfRule>
  </conditionalFormatting>
  <printOptions horizontalCentered="1"/>
  <pageMargins left="0.7" right="0.7" top="0.75" bottom="0.75" header="0.3" footer="0.3"/>
  <pageSetup orientation="landscape" scale="57" fitToWidth="2"/>
  <headerFooter differentFirst="1" scaleWithDoc="0">
    <oddHeader>&amp;C&amp;"Gill Sans MT,Regular"&amp;12 Sales Forecast Years 1-3</oddHeader>
    <oddFooter>&amp;L&amp;"Gill Sans MT,Regular"&amp;12 &amp;F&amp;C&amp;"Gill Sans MT,Regular"&amp;12 &amp;A&amp;R&amp;"Gill Sans MT,Regular"&amp;12 &amp;D &amp;T</oddFooter>
    <evenHeader>&amp;C&amp;"Gill Sans MT,Regular"&amp;12 Sales Forecast Years 1-3</evenHeader>
    <evenFooter/>
    <firstHeader>&amp;C&amp;"Gill Sans MT,Regular"&amp;12 Sales Forecast Years 1-3</firstHeader>
    <firstFooter>&amp;L&amp;F&amp;C&amp;A&amp;R&amp;D &amp;T</firstFooter>
  </headerFooter>
</worksheet>
</file>

<file path=xl/worksheets/sheet7.xml><?xml version="1.0" encoding="utf-8"?>
<worksheet xmlns="http://schemas.openxmlformats.org/spreadsheetml/2006/main">
  <sheetPr codeName="Sheet10">
    <tabColor rgb="FFFFC95B"/>
    <outlinePr summaryBelow="1" summaryRight="1"/>
    <pageSetUpPr fitToPage="1"/>
  </sheetPr>
  <dimension ref="B2:R44"/>
  <sheetViews>
    <sheetView topLeftCell="G19" zoomScaleNormal="100" zoomScalePageLayoutView="50" workbookViewId="0">
      <selection activeCell="R35" sqref="R35"/>
    </sheetView>
  </sheetViews>
  <sheetFormatPr baseColWidth="8" defaultColWidth="8.83984375" defaultRowHeight="13.5"/>
  <cols>
    <col width="6.68359375" customWidth="1" style="46" min="1" max="1"/>
    <col width="30.83984375" bestFit="1" customWidth="1" style="46" min="2" max="2"/>
    <col width="17.41796875" bestFit="1" customWidth="1" style="46" min="3" max="3"/>
    <col width="13.41796875" bestFit="1" customWidth="1" style="46" min="4" max="4"/>
    <col width="9.68359375" customWidth="1" style="46" min="5" max="11"/>
    <col width="11.83984375" bestFit="1" customWidth="1" style="46" min="12" max="12"/>
    <col width="9.68359375" customWidth="1" style="46" min="13" max="13"/>
    <col width="11.15625" bestFit="1" customWidth="1" style="46" min="14" max="15"/>
    <col width="15.68359375" bestFit="1" customWidth="1" style="46" min="16" max="16"/>
    <col width="9.26171875" customWidth="1" style="46" min="17" max="18"/>
    <col width="8.83984375" customWidth="1" style="46" min="19" max="16384"/>
  </cols>
  <sheetData>
    <row r="2">
      <c r="B2" s="9" t="inlineStr">
        <is>
          <t>Additional Inputs</t>
        </is>
      </c>
      <c r="C2" s="168" t="n"/>
      <c r="E2" s="148" t="n"/>
    </row>
    <row r="3">
      <c r="B3" s="168" t="n"/>
      <c r="C3" s="168" t="n"/>
    </row>
    <row r="4">
      <c r="B4" s="504" t="inlineStr">
        <is>
          <t>Prepared By:</t>
        </is>
      </c>
      <c r="C4" s="504" t="inlineStr">
        <is>
          <t>Company Name:</t>
        </is>
      </c>
    </row>
    <row r="5">
      <c r="B5" s="517">
        <f>IF(ISBLANK(Directions!C10), "Owner", Directions!C10)</f>
        <v/>
      </c>
      <c r="C5" s="517">
        <f>IF(ISBLANK(Directions!D10), "Company 1", Directions!D10)</f>
        <v/>
      </c>
    </row>
    <row r="6">
      <c r="B6" s="170" t="n"/>
    </row>
    <row r="7" ht="13.8" customHeight="1" thickBot="1">
      <c r="B7" s="506" t="inlineStr">
        <is>
          <t>Accounts Receivable (A/R) Days Sales Outstanding</t>
        </is>
      </c>
      <c r="C7" s="555" t="n"/>
      <c r="D7" s="555" t="n"/>
      <c r="E7" s="520" t="n"/>
    </row>
    <row r="8" ht="13.8" customHeight="1" thickTop="1">
      <c r="B8" s="332" t="inlineStr">
        <is>
          <t>Percent of Collections</t>
        </is>
      </c>
      <c r="C8" s="333" t="inlineStr">
        <is>
          <t>Year 1</t>
        </is>
      </c>
      <c r="D8" s="333" t="inlineStr">
        <is>
          <t>Year 2</t>
        </is>
      </c>
      <c r="E8" s="333" t="inlineStr">
        <is>
          <t>Year 3</t>
        </is>
      </c>
    </row>
    <row r="9">
      <c r="B9" s="171" t="inlineStr">
        <is>
          <t>Paid within 30 days</t>
        </is>
      </c>
      <c r="C9" s="172" t="n">
        <v>1</v>
      </c>
      <c r="D9" s="172" t="n">
        <v>1</v>
      </c>
      <c r="E9" s="172" t="n">
        <v>1</v>
      </c>
    </row>
    <row r="10">
      <c r="B10" s="171" t="inlineStr">
        <is>
          <t>Paid between 30 and 60 days</t>
        </is>
      </c>
      <c r="C10" s="172" t="n">
        <v>0</v>
      </c>
      <c r="D10" s="172" t="n">
        <v>0</v>
      </c>
      <c r="E10" s="172" t="n">
        <v>0</v>
      </c>
    </row>
    <row r="11">
      <c r="B11" s="171" t="inlineStr">
        <is>
          <t>Paid in more than 60 days</t>
        </is>
      </c>
      <c r="C11" s="172" t="n">
        <v>0</v>
      </c>
      <c r="D11" s="172" t="n">
        <v>0</v>
      </c>
      <c r="E11" s="172" t="n">
        <v>0</v>
      </c>
    </row>
    <row r="12">
      <c r="B12" s="171" t="inlineStr">
        <is>
          <t>Allowance for bad debt</t>
        </is>
      </c>
      <c r="C12" s="176">
        <f>1-SUM(C9:C11)</f>
        <v/>
      </c>
      <c r="D12" s="176">
        <f>1-SUM(D9:D11)</f>
        <v/>
      </c>
      <c r="E12" s="176">
        <f>1-SUM(E9:E11)</f>
        <v/>
      </c>
    </row>
    <row r="13">
      <c r="B13" s="180" t="inlineStr">
        <is>
          <t>This should equal 100%  ----&gt;</t>
        </is>
      </c>
      <c r="C13" s="181">
        <f>SUM(C9:C12)</f>
        <v/>
      </c>
      <c r="D13" s="181">
        <f>SUM(D9:D12)</f>
        <v/>
      </c>
      <c r="E13" s="181">
        <f>SUM(E9:E12)</f>
        <v/>
      </c>
    </row>
    <row r="15" ht="13.8" customHeight="1" thickBot="1">
      <c r="B15" s="506" t="inlineStr">
        <is>
          <t>Accounts Payable (A/P)</t>
        </is>
      </c>
      <c r="C15" s="555" t="n"/>
      <c r="D15" s="555" t="n"/>
      <c r="E15" s="520" t="n"/>
    </row>
    <row r="16" ht="13.8" customHeight="1" thickTop="1">
      <c r="B16" s="332" t="inlineStr">
        <is>
          <t>Percent of Disbursements</t>
        </is>
      </c>
      <c r="C16" s="333" t="inlineStr">
        <is>
          <t>Year 1</t>
        </is>
      </c>
      <c r="D16" s="333" t="inlineStr">
        <is>
          <t>Year 2</t>
        </is>
      </c>
      <c r="E16" s="333" t="inlineStr">
        <is>
          <t>Year 3</t>
        </is>
      </c>
    </row>
    <row r="17">
      <c r="B17" s="173" t="inlineStr">
        <is>
          <t>Paid within 30 days</t>
        </is>
      </c>
      <c r="C17" s="172" t="n">
        <v>1</v>
      </c>
      <c r="D17" s="172" t="n">
        <v>1</v>
      </c>
      <c r="E17" s="172" t="n">
        <v>1</v>
      </c>
    </row>
    <row r="18">
      <c r="B18" s="173" t="inlineStr">
        <is>
          <t>Paid between 30 and 60 days</t>
        </is>
      </c>
      <c r="C18" s="172" t="n">
        <v>0</v>
      </c>
      <c r="D18" s="172" t="n">
        <v>0</v>
      </c>
      <c r="E18" s="172" t="n">
        <v>0</v>
      </c>
    </row>
    <row r="19">
      <c r="B19" s="51" t="inlineStr">
        <is>
          <t>Paid in more than 60 days</t>
        </is>
      </c>
      <c r="C19" s="172" t="n">
        <v>0</v>
      </c>
      <c r="D19" s="172" t="n">
        <v>0</v>
      </c>
      <c r="E19" s="172" t="n">
        <v>0</v>
      </c>
    </row>
    <row r="20">
      <c r="B20" s="180" t="inlineStr">
        <is>
          <t>This should equal 100%  ----&gt;</t>
        </is>
      </c>
      <c r="C20" s="181">
        <f>SUM(C17:C19)</f>
        <v/>
      </c>
      <c r="D20" s="181">
        <f>SUM(D17:D19)</f>
        <v/>
      </c>
      <c r="E20" s="181">
        <f>SUM(E17:E19)</f>
        <v/>
      </c>
    </row>
    <row r="23" ht="13.8" customHeight="1" thickBot="1">
      <c r="B23" s="506" t="inlineStr">
        <is>
          <t>Line of Credit Assumptions</t>
        </is>
      </c>
      <c r="C23" s="555" t="n"/>
      <c r="D23" s="520" t="n"/>
    </row>
    <row r="24" ht="13.8" customHeight="1" thickTop="1">
      <c r="B24" s="467" t="inlineStr">
        <is>
          <t>Desired Minimum Cash Balance</t>
        </is>
      </c>
      <c r="C24" s="559" t="n"/>
      <c r="D24" s="334" t="n">
        <v>0</v>
      </c>
    </row>
    <row r="25">
      <c r="B25" s="179" t="inlineStr">
        <is>
          <t>Line of Credit Interest Rate</t>
        </is>
      </c>
      <c r="C25" s="529" t="n"/>
      <c r="D25" s="177" t="n">
        <v>0.08</v>
      </c>
    </row>
    <row r="27" ht="13.8" customHeight="1" thickBot="1">
      <c r="B27" s="506" t="inlineStr">
        <is>
          <t>Additional Fixed Assets Purchases</t>
        </is>
      </c>
      <c r="C27" s="555" t="n"/>
      <c r="D27" s="555" t="n"/>
      <c r="E27" s="555" t="n"/>
      <c r="F27" s="555" t="n"/>
      <c r="G27" s="555" t="n"/>
      <c r="H27" s="555" t="n"/>
      <c r="I27" s="555" t="n"/>
      <c r="J27" s="555" t="n"/>
      <c r="K27" s="555" t="n"/>
      <c r="L27" s="555" t="n"/>
      <c r="M27" s="555" t="n"/>
      <c r="N27" s="555" t="n"/>
      <c r="O27" s="555" t="n"/>
      <c r="P27" s="555" t="n"/>
      <c r="Q27" s="555" t="n"/>
      <c r="R27" s="520" t="n"/>
    </row>
    <row r="28" ht="27.3" customHeight="1" thickTop="1">
      <c r="B28" s="335" t="inlineStr">
        <is>
          <t>Fixed Assets</t>
        </is>
      </c>
      <c r="C28" s="336" t="inlineStr">
        <is>
          <t>Depreciation (years)</t>
        </is>
      </c>
      <c r="D28" s="337">
        <f>'2a-PayrollYear1'!F7</f>
        <v/>
      </c>
      <c r="E28" s="337">
        <f>'2a-PayrollYear1'!G7</f>
        <v/>
      </c>
      <c r="F28" s="337">
        <f>'2a-PayrollYear1'!H7</f>
        <v/>
      </c>
      <c r="G28" s="337">
        <f>'2a-PayrollYear1'!I7</f>
        <v/>
      </c>
      <c r="H28" s="337">
        <f>'2a-PayrollYear1'!J7</f>
        <v/>
      </c>
      <c r="I28" s="337">
        <f>'2a-PayrollYear1'!K7</f>
        <v/>
      </c>
      <c r="J28" s="337">
        <f>'2a-PayrollYear1'!L7</f>
        <v/>
      </c>
      <c r="K28" s="337">
        <f>'2a-PayrollYear1'!M7</f>
        <v/>
      </c>
      <c r="L28" s="337">
        <f>'2a-PayrollYear1'!N7</f>
        <v/>
      </c>
      <c r="M28" s="337">
        <f>'2a-PayrollYear1'!O7</f>
        <v/>
      </c>
      <c r="N28" s="337">
        <f>'2a-PayrollYear1'!P7</f>
        <v/>
      </c>
      <c r="O28" s="337">
        <f>'2a-PayrollYear1'!Q7</f>
        <v/>
      </c>
      <c r="P28" s="338" t="inlineStr">
        <is>
          <t>Year 1 Totals</t>
        </is>
      </c>
      <c r="Q28" s="337" t="inlineStr">
        <is>
          <t>Year 2 Total</t>
        </is>
      </c>
      <c r="R28" s="337" t="inlineStr">
        <is>
          <t>Year 3 Total</t>
        </is>
      </c>
    </row>
    <row r="29">
      <c r="B29" s="179" t="inlineStr">
        <is>
          <t>Real Estate</t>
        </is>
      </c>
      <c r="C29" s="54" t="n">
        <v>20</v>
      </c>
      <c r="D29" s="300">
        <f>Buildings</f>
        <v/>
      </c>
      <c r="E29" s="307" t="n"/>
      <c r="F29" s="308" t="n"/>
      <c r="G29" s="308" t="n"/>
      <c r="H29" s="308" t="n"/>
      <c r="I29" s="308" t="n"/>
      <c r="J29" s="308" t="n"/>
      <c r="K29" s="308" t="n"/>
      <c r="L29" s="308" t="n"/>
      <c r="M29" s="308" t="n"/>
      <c r="N29" s="308" t="n"/>
      <c r="O29" s="308" t="n"/>
      <c r="P29" s="50">
        <f>SUM(D29:O29)</f>
        <v/>
      </c>
      <c r="Q29" s="311" t="n"/>
      <c r="R29" s="311" t="n"/>
    </row>
    <row r="30">
      <c r="B30" s="179" t="inlineStr">
        <is>
          <t>Leasehold Improvements</t>
        </is>
      </c>
      <c r="C30" s="54" t="n">
        <v>7</v>
      </c>
      <c r="D30" s="300">
        <f>LeaseImprovements</f>
        <v/>
      </c>
      <c r="E30" s="307" t="n"/>
      <c r="F30" s="308" t="n"/>
      <c r="G30" s="308" t="n"/>
      <c r="H30" s="308" t="n"/>
      <c r="I30" s="308" t="n"/>
      <c r="J30" s="308" t="n"/>
      <c r="K30" s="308" t="n"/>
      <c r="L30" s="308" t="n"/>
      <c r="M30" s="308" t="n"/>
      <c r="N30" s="308" t="n"/>
      <c r="O30" s="308" t="n"/>
      <c r="P30" s="50">
        <f>SUM(D30:O30)</f>
        <v/>
      </c>
      <c r="Q30" s="311" t="n"/>
      <c r="R30" s="311" t="n"/>
    </row>
    <row r="31">
      <c r="B31" s="179" t="inlineStr">
        <is>
          <t>Equipment</t>
        </is>
      </c>
      <c r="C31" s="54" t="n">
        <v>7</v>
      </c>
      <c r="D31" s="300">
        <f>Equipment</f>
        <v/>
      </c>
      <c r="E31" s="307" t="n"/>
      <c r="F31" s="308" t="n"/>
      <c r="G31" s="308" t="n"/>
      <c r="H31" s="308" t="n"/>
      <c r="I31" s="308" t="n"/>
      <c r="J31" s="308" t="n"/>
      <c r="K31" s="308" t="n"/>
      <c r="L31" s="308" t="n"/>
      <c r="M31" s="308" t="n"/>
      <c r="N31" s="308" t="n"/>
      <c r="O31" s="308" t="n"/>
      <c r="P31" s="50">
        <f>SUM(D31:O31)</f>
        <v/>
      </c>
      <c r="Q31" s="311" t="n"/>
      <c r="R31" s="311" t="n"/>
    </row>
    <row r="32">
      <c r="B32" s="179" t="inlineStr">
        <is>
          <t>Furniture and Fixtures</t>
        </is>
      </c>
      <c r="C32" s="54" t="n">
        <v>5</v>
      </c>
      <c r="D32" s="300">
        <f>Furniture</f>
        <v/>
      </c>
      <c r="E32" s="307" t="n"/>
      <c r="F32" s="308" t="n"/>
      <c r="G32" s="308" t="n"/>
      <c r="H32" s="308" t="n"/>
      <c r="I32" s="308" t="n"/>
      <c r="J32" s="308" t="n"/>
      <c r="K32" s="308" t="n"/>
      <c r="L32" s="308" t="n"/>
      <c r="M32" s="308" t="n"/>
      <c r="N32" s="308" t="n"/>
      <c r="O32" s="308" t="n"/>
      <c r="P32" s="50">
        <f>SUM(D32:O32)</f>
        <v/>
      </c>
      <c r="Q32" s="311" t="n"/>
      <c r="R32" s="311" t="n"/>
    </row>
    <row r="33">
      <c r="B33" s="179" t="inlineStr">
        <is>
          <t>Vehicles</t>
        </is>
      </c>
      <c r="C33" s="54" t="n">
        <v>5</v>
      </c>
      <c r="D33" s="300">
        <f>Vehicles</f>
        <v/>
      </c>
      <c r="E33" s="307" t="n"/>
      <c r="F33" s="308" t="n"/>
      <c r="G33" s="308" t="n"/>
      <c r="H33" s="308" t="n"/>
      <c r="I33" s="308" t="n"/>
      <c r="J33" s="308" t="n"/>
      <c r="K33" s="308" t="n"/>
      <c r="L33" s="308" t="n"/>
      <c r="M33" s="308" t="n"/>
      <c r="N33" s="308" t="n"/>
      <c r="O33" s="308" t="n"/>
      <c r="P33" s="50">
        <f>SUM(D33:O33)</f>
        <v/>
      </c>
      <c r="Q33" s="311" t="n"/>
      <c r="R33" s="311" t="n"/>
    </row>
    <row r="34">
      <c r="B34" s="179" t="inlineStr">
        <is>
          <t>Other Fixed Assets</t>
        </is>
      </c>
      <c r="C34" s="178" t="n">
        <v>5</v>
      </c>
      <c r="D34" s="306">
        <f>OtherFixedAssets</f>
        <v/>
      </c>
      <c r="E34" s="309" t="n"/>
      <c r="F34" s="310" t="n"/>
      <c r="G34" s="308" t="n"/>
      <c r="H34" s="308" t="n"/>
      <c r="I34" s="308" t="n"/>
      <c r="J34" s="308" t="n"/>
      <c r="K34" s="308" t="n"/>
      <c r="L34" s="308" t="n"/>
      <c r="M34" s="308" t="n"/>
      <c r="N34" s="308" t="n"/>
      <c r="O34" s="308" t="n"/>
      <c r="P34" s="50">
        <f>SUM(D34:O34)</f>
        <v/>
      </c>
      <c r="Q34" s="311" t="n">
        <v>0</v>
      </c>
      <c r="R34" s="311" t="n">
        <v>0</v>
      </c>
    </row>
    <row r="35">
      <c r="B35" s="175" t="inlineStr">
        <is>
          <t>Total Additional Fixed Assets</t>
        </is>
      </c>
      <c r="C35" s="48" t="n"/>
      <c r="D35" s="86">
        <f>SUM(D29:D34)</f>
        <v/>
      </c>
      <c r="E35" s="86">
        <f>SUM(E29:E34)</f>
        <v/>
      </c>
      <c r="F35" s="86">
        <f>SUM(F29:F34)</f>
        <v/>
      </c>
      <c r="G35" s="86">
        <f>SUM(G29:G34)</f>
        <v/>
      </c>
      <c r="H35" s="86">
        <f>SUM(H29:H34)</f>
        <v/>
      </c>
      <c r="I35" s="86">
        <f>SUM(I29:I34)</f>
        <v/>
      </c>
      <c r="J35" s="86">
        <f>SUM(J29:J34)</f>
        <v/>
      </c>
      <c r="K35" s="86">
        <f>SUM(K29:K34)</f>
        <v/>
      </c>
      <c r="L35" s="86">
        <f>SUM(L29:L34)</f>
        <v/>
      </c>
      <c r="M35" s="86">
        <f>SUM(M29:M34)</f>
        <v/>
      </c>
      <c r="N35" s="86">
        <f>SUM(N29:N34)</f>
        <v/>
      </c>
      <c r="O35" s="86">
        <f>SUM(O29:O34)</f>
        <v/>
      </c>
      <c r="P35" s="86">
        <f>SUM(P29:P34)</f>
        <v/>
      </c>
      <c r="Q35" s="86">
        <f>SUM(Q29:Q34)</f>
        <v/>
      </c>
      <c r="R35" s="86">
        <f>SUM(R29:R34)</f>
        <v/>
      </c>
    </row>
    <row r="38" ht="13.8" customHeight="1" thickBot="1">
      <c r="B38" s="506" t="inlineStr">
        <is>
          <t>Income Tax Assumptions</t>
        </is>
      </c>
      <c r="C38" s="520" t="n"/>
      <c r="D38" s="31" t="n"/>
      <c r="E38" s="31" t="n"/>
      <c r="F38" s="32" t="n"/>
      <c r="G38" s="33" t="n"/>
      <c r="H38" s="34" t="n"/>
    </row>
    <row r="39" ht="13.8" customHeight="1" thickTop="1">
      <c r="B39" s="322" t="inlineStr">
        <is>
          <t>Effective Income Tax Rate - Year 1</t>
        </is>
      </c>
      <c r="C39" s="339" t="n">
        <v>0</v>
      </c>
      <c r="D39" s="31" t="n"/>
      <c r="E39" s="31" t="n"/>
      <c r="F39" s="32" t="n"/>
      <c r="G39" s="560" t="n"/>
    </row>
    <row r="40">
      <c r="B40" s="322" t="inlineStr">
        <is>
          <t>Effective Income Tax Rate - Year 2</t>
        </is>
      </c>
      <c r="C40" s="339" t="n">
        <v>0</v>
      </c>
      <c r="D40" s="31" t="n"/>
      <c r="E40" s="31" t="n"/>
      <c r="F40" s="32" t="n"/>
      <c r="G40" s="560" t="n"/>
    </row>
    <row r="41">
      <c r="B41" s="322" t="inlineStr">
        <is>
          <t>Effective Income Tax Rate - Year 3</t>
        </is>
      </c>
      <c r="C41" s="339" t="n">
        <v>0</v>
      </c>
    </row>
    <row r="43" ht="13.8" customHeight="1" thickBot="1">
      <c r="B43" s="506" t="inlineStr">
        <is>
          <t>Amortization of Start-Up Costs</t>
        </is>
      </c>
      <c r="C43" s="520" t="n"/>
    </row>
    <row r="44" ht="13.8" customHeight="1" thickTop="1">
      <c r="B44" s="340" t="inlineStr">
        <is>
          <t>Amortization Period in Years</t>
        </is>
      </c>
      <c r="C44" s="341" t="n">
        <v>3</v>
      </c>
    </row>
  </sheetData>
  <mergeCells count="8">
    <mergeCell ref="B24:C24"/>
    <mergeCell ref="B38:C38"/>
    <mergeCell ref="B27:R27"/>
    <mergeCell ref="B25:C25"/>
    <mergeCell ref="B23:D23"/>
    <mergeCell ref="B15:E15"/>
    <mergeCell ref="B7:E7"/>
    <mergeCell ref="B43:C43"/>
  </mergeCells>
  <conditionalFormatting sqref="D29:O34 Q29:R34">
    <cfRule type="containsBlanks" priority="3" dxfId="0">
      <formula>LEN(TRIM(D29))=0</formula>
    </cfRule>
  </conditionalFormatting>
  <printOptions horizontalCentered="1"/>
  <pageMargins left="0.7" right="0.7" top="0.75" bottom="0.75" header="0.3" footer="0.3"/>
  <pageSetup orientation="landscape" scale="58"/>
  <headerFooter scaleWithDoc="0">
    <oddHeader>&amp;C&amp;"Gill Sans MT,Regular"&amp;12 Additional Inputs</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codeName="Sheet5">
    <tabColor rgb="FFFFC95B"/>
    <outlinePr summaryBelow="1" summaryRight="1"/>
    <pageSetUpPr fitToPage="1"/>
  </sheetPr>
  <dimension ref="A2:R38"/>
  <sheetViews>
    <sheetView topLeftCell="A4" zoomScaleNormal="100" zoomScalePageLayoutView="60" workbookViewId="0">
      <selection activeCell="C10" sqref="C10"/>
    </sheetView>
  </sheetViews>
  <sheetFormatPr baseColWidth="8" defaultColWidth="8.83984375" defaultRowHeight="13.5"/>
  <cols>
    <col width="8.83984375" customWidth="1" style="46" min="1" max="1"/>
    <col width="46.68359375" bestFit="1" customWidth="1" style="46" min="2" max="2"/>
    <col width="9.68359375" customWidth="1" style="46" min="3" max="13"/>
    <col width="11.26171875" bestFit="1" customWidth="1" style="46" min="14" max="14"/>
    <col width="15.26171875" bestFit="1" customWidth="1" style="46" min="15" max="15"/>
    <col width="8.83984375" customWidth="1" style="46" min="16" max="17"/>
    <col width="14.83984375" bestFit="1" customWidth="1" style="46" min="18" max="18"/>
    <col width="8.83984375" customWidth="1" style="46" min="19" max="16384"/>
  </cols>
  <sheetData>
    <row r="2">
      <c r="A2" s="145" t="n"/>
      <c r="B2" s="501" t="inlineStr">
        <is>
          <t>Operating Expenses Year 1</t>
        </is>
      </c>
      <c r="C2" s="56" t="n"/>
      <c r="D2" s="146" t="n"/>
    </row>
    <row r="3" ht="18" customHeight="1">
      <c r="A3" s="145" t="n"/>
      <c r="B3" s="56" t="n"/>
      <c r="C3" s="56" t="n"/>
      <c r="D3" s="146" t="n"/>
    </row>
    <row r="4">
      <c r="A4" s="145" t="n"/>
      <c r="B4" s="147" t="inlineStr">
        <is>
          <t>Prepared By:</t>
        </is>
      </c>
      <c r="C4" s="511" t="inlineStr">
        <is>
          <t>Company Name:</t>
        </is>
      </c>
      <c r="N4" s="148" t="n"/>
    </row>
    <row r="5">
      <c r="A5" s="145" t="n"/>
      <c r="B5" s="46">
        <f>IF(ISBLANK(Directions!C10), "Owner", Directions!C10)</f>
        <v/>
      </c>
      <c r="C5" s="46">
        <f>IF(ISBLANK(Directions!D10), "Company 1", Directions!D10)</f>
        <v/>
      </c>
      <c r="E5" s="103" t="n"/>
      <c r="N5" s="148" t="n"/>
    </row>
    <row r="6">
      <c r="A6" s="145" t="n"/>
    </row>
    <row r="7">
      <c r="A7" s="145" t="n"/>
      <c r="D7" s="503" t="n"/>
    </row>
    <row r="8" ht="13.8" customHeight="1" thickBot="1">
      <c r="A8" s="145" t="n"/>
      <c r="B8" s="149" t="n"/>
      <c r="C8" s="506">
        <f>'2a-PayrollYear1'!F7</f>
        <v/>
      </c>
      <c r="D8" s="506">
        <f>'2a-PayrollYear1'!G7</f>
        <v/>
      </c>
      <c r="E8" s="506">
        <f>'2a-PayrollYear1'!H7</f>
        <v/>
      </c>
      <c r="F8" s="506">
        <f>'2a-PayrollYear1'!I7</f>
        <v/>
      </c>
      <c r="G8" s="506">
        <f>'2a-PayrollYear1'!J7</f>
        <v/>
      </c>
      <c r="H8" s="506">
        <f>'2a-PayrollYear1'!K7</f>
        <v/>
      </c>
      <c r="I8" s="506">
        <f>'2a-PayrollYear1'!L7</f>
        <v/>
      </c>
      <c r="J8" s="506">
        <f>'2a-PayrollYear1'!M7</f>
        <v/>
      </c>
      <c r="K8" s="506">
        <f>'2a-PayrollYear1'!N7</f>
        <v/>
      </c>
      <c r="L8" s="506">
        <f>'2a-PayrollYear1'!O7</f>
        <v/>
      </c>
      <c r="M8" s="506">
        <f>'2a-PayrollYear1'!P7</f>
        <v/>
      </c>
      <c r="N8" s="506">
        <f>'2a-PayrollYear1'!Q7</f>
        <v/>
      </c>
      <c r="O8" s="506" t="inlineStr">
        <is>
          <t>Annual Totals</t>
        </is>
      </c>
    </row>
    <row r="9" ht="13.8" customHeight="1" thickTop="1">
      <c r="A9" s="145" t="n"/>
      <c r="B9" s="150" t="inlineStr">
        <is>
          <t>Expenses</t>
        </is>
      </c>
      <c r="C9" s="151" t="n"/>
      <c r="D9" s="151" t="n"/>
      <c r="E9" s="151" t="n"/>
      <c r="F9" s="151" t="n"/>
      <c r="G9" s="151" t="n"/>
      <c r="H9" s="151" t="n"/>
      <c r="I9" s="151" t="n"/>
      <c r="J9" s="151" t="n"/>
      <c r="K9" s="151" t="n"/>
      <c r="L9" s="151" t="n"/>
      <c r="M9" s="151" t="n"/>
      <c r="N9" s="151" t="n"/>
      <c r="O9" s="152" t="n"/>
    </row>
    <row r="10">
      <c r="A10" s="145" t="n"/>
      <c r="B10" s="153" t="inlineStr">
        <is>
          <t>Advertising</t>
        </is>
      </c>
      <c r="C10" s="154" t="n"/>
      <c r="D10" s="154" t="n"/>
      <c r="E10" s="154" t="n"/>
      <c r="F10" s="154" t="n"/>
      <c r="G10" s="154" t="n"/>
      <c r="H10" s="154" t="n"/>
      <c r="I10" s="154" t="n"/>
      <c r="J10" s="154" t="n"/>
      <c r="K10" s="154" t="n"/>
      <c r="L10" s="154" t="n"/>
      <c r="M10" s="154" t="n"/>
      <c r="N10" s="154" t="n"/>
      <c r="O10" s="60">
        <f>SUM(C10:N10)</f>
        <v/>
      </c>
    </row>
    <row r="11">
      <c r="A11" s="145" t="n"/>
      <c r="B11" s="153" t="inlineStr">
        <is>
          <t>Car and Truck Expenses</t>
        </is>
      </c>
      <c r="C11" s="154" t="n"/>
      <c r="D11" s="154" t="n"/>
      <c r="E11" s="154" t="n"/>
      <c r="F11" s="154" t="n"/>
      <c r="G11" s="154" t="n"/>
      <c r="H11" s="154" t="n"/>
      <c r="I11" s="154" t="n"/>
      <c r="J11" s="154" t="n"/>
      <c r="K11" s="154" t="n"/>
      <c r="L11" s="154" t="n"/>
      <c r="M11" s="154" t="n"/>
      <c r="N11" s="154" t="n"/>
      <c r="O11" s="60">
        <f>SUM(C11:N11)</f>
        <v/>
      </c>
    </row>
    <row r="12">
      <c r="A12" s="145" t="n"/>
      <c r="B12" s="153" t="inlineStr">
        <is>
          <t>Commissions and Fees</t>
        </is>
      </c>
      <c r="C12" s="154" t="n"/>
      <c r="D12" s="154" t="n"/>
      <c r="E12" s="154" t="n"/>
      <c r="F12" s="154" t="n"/>
      <c r="G12" s="154" t="n"/>
      <c r="H12" s="154" t="n"/>
      <c r="I12" s="154" t="n"/>
      <c r="J12" s="154" t="n"/>
      <c r="K12" s="154" t="n"/>
      <c r="L12" s="154" t="n"/>
      <c r="M12" s="154" t="n"/>
      <c r="N12" s="154" t="n"/>
      <c r="O12" s="60">
        <f>SUM(C12:N12)</f>
        <v/>
      </c>
    </row>
    <row r="13">
      <c r="A13" s="145" t="n"/>
      <c r="B13" s="153" t="inlineStr">
        <is>
          <t>Contract Labor (Not included in payroll)</t>
        </is>
      </c>
      <c r="C13" s="154" t="n">
        <v>66.67</v>
      </c>
      <c r="D13" s="154" t="n">
        <v>66.67</v>
      </c>
      <c r="E13" s="154" t="n">
        <v>66.67</v>
      </c>
      <c r="F13" s="154" t="n">
        <v>66.67</v>
      </c>
      <c r="G13" s="154" t="n">
        <v>66.67</v>
      </c>
      <c r="H13" s="154" t="n">
        <v>66.67</v>
      </c>
      <c r="I13" s="154" t="n">
        <v>66.67</v>
      </c>
      <c r="J13" s="154" t="n">
        <v>66.67</v>
      </c>
      <c r="K13" s="154" t="n">
        <v>66.67</v>
      </c>
      <c r="L13" s="154" t="n">
        <v>66.67</v>
      </c>
      <c r="M13" s="154" t="n">
        <v>66.67</v>
      </c>
      <c r="N13" s="154" t="n">
        <v>66.67</v>
      </c>
      <c r="O13" s="60">
        <f>SUM(C13:N13)</f>
        <v/>
      </c>
    </row>
    <row r="14">
      <c r="A14" s="145" t="n"/>
      <c r="B14" s="153" t="inlineStr">
        <is>
          <t>Insurance (other than health)</t>
        </is>
      </c>
      <c r="C14" s="154" t="n"/>
      <c r="D14" s="154" t="n"/>
      <c r="E14" s="154" t="n"/>
      <c r="F14" s="154" t="n"/>
      <c r="G14" s="154" t="n"/>
      <c r="H14" s="154" t="n"/>
      <c r="I14" s="154" t="n"/>
      <c r="J14" s="154" t="n"/>
      <c r="K14" s="154" t="n"/>
      <c r="L14" s="154" t="n"/>
      <c r="M14" s="154" t="n"/>
      <c r="N14" s="154" t="n"/>
      <c r="O14" s="60">
        <f>SUM(C14:N14)</f>
        <v/>
      </c>
    </row>
    <row r="15">
      <c r="A15" s="145" t="n"/>
      <c r="B15" s="153" t="inlineStr">
        <is>
          <t>Legal and Professional Services</t>
        </is>
      </c>
      <c r="C15" s="154" t="n"/>
      <c r="D15" s="154" t="n"/>
      <c r="E15" s="154" t="n"/>
      <c r="F15" s="154" t="n"/>
      <c r="G15" s="154" t="n"/>
      <c r="H15" s="154" t="n"/>
      <c r="I15" s="154" t="n"/>
      <c r="J15" s="154" t="n"/>
      <c r="K15" s="154" t="n"/>
      <c r="L15" s="154" t="n"/>
      <c r="M15" s="154" t="n"/>
      <c r="N15" s="154" t="n"/>
      <c r="O15" s="60">
        <f>SUM(C15:N15)</f>
        <v/>
      </c>
    </row>
    <row r="16">
      <c r="A16" s="145" t="n"/>
      <c r="B16" s="153" t="inlineStr">
        <is>
          <t>Licenses</t>
        </is>
      </c>
      <c r="C16" s="154" t="n"/>
      <c r="D16" s="154" t="n"/>
      <c r="E16" s="154" t="n"/>
      <c r="F16" s="154" t="n"/>
      <c r="G16" s="154" t="n"/>
      <c r="H16" s="154" t="n"/>
      <c r="I16" s="154" t="n"/>
      <c r="J16" s="154" t="n"/>
      <c r="K16" s="154" t="n"/>
      <c r="L16" s="154" t="n"/>
      <c r="M16" s="154" t="n"/>
      <c r="N16" s="154" t="n"/>
      <c r="O16" s="60">
        <f>SUM(C16:N16)</f>
        <v/>
      </c>
    </row>
    <row r="17">
      <c r="A17" s="145" t="n"/>
      <c r="B17" s="153" t="inlineStr">
        <is>
          <t>Office Expense</t>
        </is>
      </c>
      <c r="C17" s="154" t="n">
        <v>100</v>
      </c>
      <c r="D17" s="154" t="n">
        <v>100</v>
      </c>
      <c r="E17" s="154" t="n">
        <v>100</v>
      </c>
      <c r="F17" s="154" t="n">
        <v>100</v>
      </c>
      <c r="G17" s="154" t="n">
        <v>100</v>
      </c>
      <c r="H17" s="154" t="n">
        <v>100</v>
      </c>
      <c r="I17" s="154" t="n">
        <v>100</v>
      </c>
      <c r="J17" s="154" t="n">
        <v>100</v>
      </c>
      <c r="K17" s="154" t="n">
        <v>100</v>
      </c>
      <c r="L17" s="154" t="n">
        <v>100</v>
      </c>
      <c r="M17" s="154" t="n">
        <v>100</v>
      </c>
      <c r="N17" s="154" t="n">
        <v>100</v>
      </c>
      <c r="O17" s="60">
        <f>SUM(C17:N17)</f>
        <v/>
      </c>
    </row>
    <row r="18">
      <c r="A18" s="145" t="n"/>
      <c r="B18" s="153" t="inlineStr">
        <is>
          <t>Rent or Lease -- Vehicles, Machinery, Equipment</t>
        </is>
      </c>
      <c r="C18" s="154" t="n"/>
      <c r="D18" s="154" t="n"/>
      <c r="E18" s="154" t="n"/>
      <c r="F18" s="154" t="n"/>
      <c r="G18" s="154" t="n"/>
      <c r="H18" s="154" t="n"/>
      <c r="I18" s="154" t="n"/>
      <c r="J18" s="154" t="n"/>
      <c r="K18" s="154" t="n"/>
      <c r="L18" s="154" t="n"/>
      <c r="M18" s="154" t="n"/>
      <c r="N18" s="154" t="n"/>
      <c r="O18" s="60">
        <f>SUM(C18:N18)</f>
        <v/>
      </c>
    </row>
    <row r="19">
      <c r="A19" s="145" t="n"/>
      <c r="B19" s="153" t="inlineStr">
        <is>
          <t>Rent or Lease -- Other Business Property</t>
        </is>
      </c>
      <c r="C19" s="154" t="n"/>
      <c r="D19" s="154" t="n"/>
      <c r="E19" s="154" t="n"/>
      <c r="F19" s="154" t="n"/>
      <c r="G19" s="154" t="n"/>
      <c r="H19" s="154" t="n"/>
      <c r="I19" s="154" t="n"/>
      <c r="J19" s="154" t="n"/>
      <c r="K19" s="154" t="n"/>
      <c r="L19" s="154" t="n"/>
      <c r="M19" s="154" t="n"/>
      <c r="N19" s="154" t="n"/>
      <c r="O19" s="60">
        <f>SUM(C19:N19)</f>
        <v/>
      </c>
    </row>
    <row r="20">
      <c r="A20" s="145" t="n"/>
      <c r="B20" s="153" t="inlineStr">
        <is>
          <t>Repairs and Maintenance</t>
        </is>
      </c>
      <c r="C20" s="154" t="n"/>
      <c r="D20" s="154" t="n"/>
      <c r="E20" s="154" t="n"/>
      <c r="F20" s="154" t="n"/>
      <c r="G20" s="154" t="n"/>
      <c r="H20" s="154" t="n"/>
      <c r="I20" s="154" t="n"/>
      <c r="J20" s="154" t="n"/>
      <c r="K20" s="154" t="n"/>
      <c r="L20" s="154" t="n"/>
      <c r="M20" s="154" t="n"/>
      <c r="N20" s="154" t="n"/>
      <c r="O20" s="60">
        <f>SUM(C20:N20)</f>
        <v/>
      </c>
    </row>
    <row r="21">
      <c r="A21" s="145" t="n"/>
      <c r="B21" s="153" t="inlineStr">
        <is>
          <t>Supplies</t>
        </is>
      </c>
      <c r="C21" s="154" t="n"/>
      <c r="D21" s="154" t="n"/>
      <c r="E21" s="154" t="n"/>
      <c r="F21" s="154" t="n"/>
      <c r="G21" s="154" t="n"/>
      <c r="H21" s="154" t="n"/>
      <c r="I21" s="154" t="n"/>
      <c r="J21" s="154" t="n"/>
      <c r="K21" s="154" t="n"/>
      <c r="L21" s="154" t="n"/>
      <c r="M21" s="154" t="n"/>
      <c r="N21" s="154" t="n"/>
      <c r="O21" s="60">
        <f>SUM(C21:N21)</f>
        <v/>
      </c>
    </row>
    <row r="22">
      <c r="A22" s="145" t="n"/>
      <c r="B22" s="153" t="inlineStr">
        <is>
          <t>Travel, Meals and Entertainment</t>
        </is>
      </c>
      <c r="C22" s="154" t="n"/>
      <c r="D22" s="154" t="n"/>
      <c r="E22" s="154" t="n"/>
      <c r="F22" s="154" t="n"/>
      <c r="G22" s="154" t="n"/>
      <c r="H22" s="154" t="n"/>
      <c r="I22" s="154" t="n"/>
      <c r="J22" s="154" t="n"/>
      <c r="K22" s="154" t="n"/>
      <c r="L22" s="154" t="n"/>
      <c r="M22" s="154" t="n"/>
      <c r="N22" s="154" t="n"/>
      <c r="O22" s="60">
        <f>SUM(C22:N22)</f>
        <v/>
      </c>
    </row>
    <row r="23">
      <c r="A23" s="145" t="n"/>
      <c r="B23" s="153" t="inlineStr">
        <is>
          <t>Utilities</t>
        </is>
      </c>
      <c r="C23" s="154" t="inlineStr">
        <is>
          <t>In-Kind Prof Services: $81,000/yr (SDVOSB)</t>
        </is>
      </c>
      <c r="D23" s="154" t="n"/>
      <c r="E23" s="154" t="n"/>
      <c r="F23" s="154" t="n"/>
      <c r="G23" s="154" t="n"/>
      <c r="H23" s="154" t="n"/>
      <c r="I23" s="154" t="n"/>
      <c r="J23" s="154" t="n"/>
      <c r="K23" s="154" t="n"/>
      <c r="L23" s="154" t="n"/>
      <c r="M23" s="154" t="n"/>
      <c r="N23" s="154" t="n"/>
      <c r="O23" s="60">
        <f>SUM(C23:N23)</f>
        <v/>
      </c>
    </row>
    <row r="24">
      <c r="A24" s="145" t="n"/>
      <c r="B24" s="153" t="inlineStr">
        <is>
          <t xml:space="preserve">Miscellaneous </t>
        </is>
      </c>
      <c r="C24" s="154" t="n"/>
      <c r="D24" s="154" t="n"/>
      <c r="E24" s="154" t="n"/>
      <c r="F24" s="154" t="n"/>
      <c r="G24" s="154" t="n"/>
      <c r="H24" s="154" t="n"/>
      <c r="I24" s="154" t="n"/>
      <c r="J24" s="154" t="n"/>
      <c r="K24" s="154" t="n"/>
      <c r="L24" s="154" t="n"/>
      <c r="M24" s="154" t="n"/>
      <c r="N24" s="154" t="n"/>
      <c r="O24" s="60">
        <f>SUM(C24:N24)</f>
        <v/>
      </c>
    </row>
    <row r="25">
      <c r="A25" s="145" t="n"/>
      <c r="B25" s="26" t="inlineStr">
        <is>
          <t>Total Expenses</t>
        </is>
      </c>
      <c r="C25" s="60">
        <f>SUM(C10:C24)</f>
        <v/>
      </c>
      <c r="D25" s="60">
        <f>SUM(D10:D24)</f>
        <v/>
      </c>
      <c r="E25" s="60">
        <f>SUM(E10:E24)</f>
        <v/>
      </c>
      <c r="F25" s="60">
        <f>SUM(F10:F24)</f>
        <v/>
      </c>
      <c r="G25" s="60">
        <f>SUM(G10:G24)</f>
        <v/>
      </c>
      <c r="H25" s="60">
        <f>SUM(H10:H24)</f>
        <v/>
      </c>
      <c r="I25" s="60">
        <f>SUM(I10:I24)</f>
        <v/>
      </c>
      <c r="J25" s="60">
        <f>SUM(J10:J24)</f>
        <v/>
      </c>
      <c r="K25" s="60">
        <f>SUM(K10:K24)</f>
        <v/>
      </c>
      <c r="L25" s="60">
        <f>SUM(L10:L24)</f>
        <v/>
      </c>
      <c r="M25" s="60">
        <f>SUM(M10:M24)</f>
        <v/>
      </c>
      <c r="N25" s="60">
        <f>SUM(N10:N24)</f>
        <v/>
      </c>
      <c r="O25" s="60">
        <f>SUM(C25:N25)</f>
        <v/>
      </c>
    </row>
    <row r="26">
      <c r="A26" s="145" t="n"/>
      <c r="B26" s="26" t="n"/>
      <c r="C26" s="36" t="n"/>
      <c r="D26" s="36" t="n"/>
      <c r="E26" s="36" t="n"/>
      <c r="F26" s="36" t="n"/>
      <c r="G26" s="36" t="n"/>
      <c r="H26" s="36" t="n"/>
      <c r="I26" s="36" t="n"/>
      <c r="J26" s="36" t="n"/>
      <c r="K26" s="36" t="n"/>
      <c r="L26" s="36" t="n"/>
      <c r="M26" s="36" t="n"/>
      <c r="N26" s="36" t="n"/>
      <c r="O26" s="36" t="n"/>
    </row>
    <row r="27">
      <c r="A27" s="145" t="n"/>
      <c r="B27" s="155" t="inlineStr">
        <is>
          <t>Other Expenses</t>
        </is>
      </c>
      <c r="C27" s="51" t="n"/>
      <c r="D27" s="51" t="n"/>
      <c r="E27" s="51" t="n"/>
      <c r="F27" s="51" t="n"/>
      <c r="G27" s="51" t="n"/>
      <c r="H27" s="51" t="n"/>
      <c r="I27" s="51" t="n"/>
      <c r="J27" s="51" t="n"/>
      <c r="K27" s="51" t="n"/>
      <c r="L27" s="51" t="n"/>
      <c r="M27" s="51" t="n"/>
      <c r="N27" s="51" t="n"/>
      <c r="O27" s="7" t="n"/>
    </row>
    <row r="28">
      <c r="B28" s="156" t="inlineStr">
        <is>
          <t xml:space="preserve">Depreciation </t>
        </is>
      </c>
      <c r="C28" s="162">
        <f>'Amortization&amp;Depreciation'!C119</f>
        <v/>
      </c>
      <c r="D28" s="162">
        <f>'Amortization&amp;Depreciation'!D119</f>
        <v/>
      </c>
      <c r="E28" s="162">
        <f>'Amortization&amp;Depreciation'!E119</f>
        <v/>
      </c>
      <c r="F28" s="162">
        <f>'Amortization&amp;Depreciation'!F119</f>
        <v/>
      </c>
      <c r="G28" s="162">
        <f>'Amortization&amp;Depreciation'!G119</f>
        <v/>
      </c>
      <c r="H28" s="162">
        <f>'Amortization&amp;Depreciation'!H119</f>
        <v/>
      </c>
      <c r="I28" s="162">
        <f>'Amortization&amp;Depreciation'!I119</f>
        <v/>
      </c>
      <c r="J28" s="162">
        <f>'Amortization&amp;Depreciation'!J119</f>
        <v/>
      </c>
      <c r="K28" s="162">
        <f>'Amortization&amp;Depreciation'!K119</f>
        <v/>
      </c>
      <c r="L28" s="162">
        <f>'Amortization&amp;Depreciation'!L119</f>
        <v/>
      </c>
      <c r="M28" s="162">
        <f>'Amortization&amp;Depreciation'!M119</f>
        <v/>
      </c>
      <c r="N28" s="162">
        <f>'Amortization&amp;Depreciation'!N119</f>
        <v/>
      </c>
      <c r="O28" s="60">
        <f>SUM(C28:N28)</f>
        <v/>
      </c>
    </row>
    <row r="29">
      <c r="B29" s="156" t="inlineStr">
        <is>
          <t>Interest</t>
        </is>
      </c>
      <c r="C29" s="51" t="n"/>
      <c r="D29" s="51" t="n"/>
      <c r="E29" s="51" t="n"/>
      <c r="F29" s="51" t="n"/>
      <c r="G29" s="51" t="n"/>
      <c r="H29" s="51" t="n"/>
      <c r="I29" s="51" t="n"/>
      <c r="J29" s="51" t="n"/>
      <c r="K29" s="51" t="n"/>
      <c r="L29" s="51" t="n"/>
      <c r="M29" s="51" t="n"/>
      <c r="N29" s="51" t="n"/>
      <c r="O29" s="7" t="n"/>
    </row>
    <row r="30">
      <c r="B30" s="157">
        <f>'1-StartingPoint'!B37</f>
        <v/>
      </c>
      <c r="C30" s="162">
        <f>'Amortization&amp;Depreciation'!C15</f>
        <v/>
      </c>
      <c r="D30" s="162">
        <f>'Amortization&amp;Depreciation'!D15</f>
        <v/>
      </c>
      <c r="E30" s="162">
        <f>'Amortization&amp;Depreciation'!E15</f>
        <v/>
      </c>
      <c r="F30" s="162">
        <f>'Amortization&amp;Depreciation'!F15</f>
        <v/>
      </c>
      <c r="G30" s="162">
        <f>'Amortization&amp;Depreciation'!G15</f>
        <v/>
      </c>
      <c r="H30" s="162">
        <f>'Amortization&amp;Depreciation'!H15</f>
        <v/>
      </c>
      <c r="I30" s="162">
        <f>'Amortization&amp;Depreciation'!I15</f>
        <v/>
      </c>
      <c r="J30" s="162">
        <f>'Amortization&amp;Depreciation'!J15</f>
        <v/>
      </c>
      <c r="K30" s="162">
        <f>'Amortization&amp;Depreciation'!K15</f>
        <v/>
      </c>
      <c r="L30" s="162">
        <f>'Amortization&amp;Depreciation'!L15</f>
        <v/>
      </c>
      <c r="M30" s="162">
        <f>'Amortization&amp;Depreciation'!M15</f>
        <v/>
      </c>
      <c r="N30" s="162">
        <f>'Amortization&amp;Depreciation'!N15</f>
        <v/>
      </c>
      <c r="O30" s="60">
        <f>SUM(C30:N30)</f>
        <v/>
      </c>
    </row>
    <row r="31">
      <c r="B31" s="157">
        <f>'1-StartingPoint'!B38</f>
        <v/>
      </c>
      <c r="C31" s="162">
        <f>'Amortization&amp;Depreciation'!C35</f>
        <v/>
      </c>
      <c r="D31" s="162">
        <f>'Amortization&amp;Depreciation'!D35</f>
        <v/>
      </c>
      <c r="E31" s="162">
        <f>'Amortization&amp;Depreciation'!E35</f>
        <v/>
      </c>
      <c r="F31" s="162">
        <f>'Amortization&amp;Depreciation'!F35</f>
        <v/>
      </c>
      <c r="G31" s="162">
        <f>'Amortization&amp;Depreciation'!G35</f>
        <v/>
      </c>
      <c r="H31" s="162">
        <f>'Amortization&amp;Depreciation'!H35</f>
        <v/>
      </c>
      <c r="I31" s="162">
        <f>'Amortization&amp;Depreciation'!I35</f>
        <v/>
      </c>
      <c r="J31" s="162">
        <f>'Amortization&amp;Depreciation'!J35</f>
        <v/>
      </c>
      <c r="K31" s="162">
        <f>'Amortization&amp;Depreciation'!K35</f>
        <v/>
      </c>
      <c r="L31" s="162">
        <f>'Amortization&amp;Depreciation'!L35</f>
        <v/>
      </c>
      <c r="M31" s="162">
        <f>'Amortization&amp;Depreciation'!M35</f>
        <v/>
      </c>
      <c r="N31" s="162">
        <f>'Amortization&amp;Depreciation'!N35</f>
        <v/>
      </c>
      <c r="O31" s="60">
        <f>SUM(C31:N31)</f>
        <v/>
      </c>
    </row>
    <row r="32">
      <c r="B32" s="157">
        <f>'1-StartingPoint'!B39</f>
        <v/>
      </c>
      <c r="C32" s="162">
        <f>'Amortization&amp;Depreciation'!C55</f>
        <v/>
      </c>
      <c r="D32" s="162">
        <f>'Amortization&amp;Depreciation'!D55</f>
        <v/>
      </c>
      <c r="E32" s="162">
        <f>'Amortization&amp;Depreciation'!E55</f>
        <v/>
      </c>
      <c r="F32" s="162">
        <f>'Amortization&amp;Depreciation'!F55</f>
        <v/>
      </c>
      <c r="G32" s="162">
        <f>'Amortization&amp;Depreciation'!G55</f>
        <v/>
      </c>
      <c r="H32" s="162">
        <f>'Amortization&amp;Depreciation'!H55</f>
        <v/>
      </c>
      <c r="I32" s="162">
        <f>'Amortization&amp;Depreciation'!I55</f>
        <v/>
      </c>
      <c r="J32" s="162">
        <f>'Amortization&amp;Depreciation'!J55</f>
        <v/>
      </c>
      <c r="K32" s="162">
        <f>'Amortization&amp;Depreciation'!K55</f>
        <v/>
      </c>
      <c r="L32" s="162">
        <f>'Amortization&amp;Depreciation'!L55</f>
        <v/>
      </c>
      <c r="M32" s="162">
        <f>'Amortization&amp;Depreciation'!M55</f>
        <v/>
      </c>
      <c r="N32" s="162">
        <f>'Amortization&amp;Depreciation'!N55</f>
        <v/>
      </c>
      <c r="O32" s="60">
        <f>SUM(C32:N32)</f>
        <v/>
      </c>
    </row>
    <row r="33">
      <c r="B33" s="157">
        <f>'1-StartingPoint'!B40</f>
        <v/>
      </c>
      <c r="C33" s="162">
        <f>'Amortization&amp;Depreciation'!C75</f>
        <v/>
      </c>
      <c r="D33" s="162">
        <f>'Amortization&amp;Depreciation'!D75</f>
        <v/>
      </c>
      <c r="E33" s="162">
        <f>'Amortization&amp;Depreciation'!E75</f>
        <v/>
      </c>
      <c r="F33" s="162">
        <f>'Amortization&amp;Depreciation'!F75</f>
        <v/>
      </c>
      <c r="G33" s="162">
        <f>'Amortization&amp;Depreciation'!G75</f>
        <v/>
      </c>
      <c r="H33" s="162">
        <f>'Amortization&amp;Depreciation'!H75</f>
        <v/>
      </c>
      <c r="I33" s="162">
        <f>'Amortization&amp;Depreciation'!I75</f>
        <v/>
      </c>
      <c r="J33" s="162">
        <f>'Amortization&amp;Depreciation'!J75</f>
        <v/>
      </c>
      <c r="K33" s="162">
        <f>'Amortization&amp;Depreciation'!K75</f>
        <v/>
      </c>
      <c r="L33" s="162">
        <f>'Amortization&amp;Depreciation'!L75</f>
        <v/>
      </c>
      <c r="M33" s="162">
        <f>'Amortization&amp;Depreciation'!M75</f>
        <v/>
      </c>
      <c r="N33" s="162">
        <f>'Amortization&amp;Depreciation'!N75</f>
        <v/>
      </c>
      <c r="O33" s="60">
        <f>SUM(C33:N33)</f>
        <v/>
      </c>
    </row>
    <row r="34">
      <c r="B34" s="157">
        <f>'1-StartingPoint'!B41</f>
        <v/>
      </c>
      <c r="C34" s="162">
        <f>'Amortization&amp;Depreciation'!C95</f>
        <v/>
      </c>
      <c r="D34" s="162">
        <f>'Amortization&amp;Depreciation'!D95</f>
        <v/>
      </c>
      <c r="E34" s="162">
        <f>'Amortization&amp;Depreciation'!E95</f>
        <v/>
      </c>
      <c r="F34" s="162">
        <f>'Amortization&amp;Depreciation'!F95</f>
        <v/>
      </c>
      <c r="G34" s="162">
        <f>'Amortization&amp;Depreciation'!G95</f>
        <v/>
      </c>
      <c r="H34" s="162">
        <f>'Amortization&amp;Depreciation'!H95</f>
        <v/>
      </c>
      <c r="I34" s="162">
        <f>'Amortization&amp;Depreciation'!I95</f>
        <v/>
      </c>
      <c r="J34" s="162">
        <f>'Amortization&amp;Depreciation'!J95</f>
        <v/>
      </c>
      <c r="K34" s="162">
        <f>'Amortization&amp;Depreciation'!K95</f>
        <v/>
      </c>
      <c r="L34" s="162">
        <f>'Amortization&amp;Depreciation'!L95</f>
        <v/>
      </c>
      <c r="M34" s="162">
        <f>'Amortization&amp;Depreciation'!M95</f>
        <v/>
      </c>
      <c r="N34" s="162">
        <f>'Amortization&amp;Depreciation'!N95</f>
        <v/>
      </c>
      <c r="O34" s="60">
        <f>SUM(C34:N34)</f>
        <v/>
      </c>
    </row>
    <row r="35">
      <c r="B35" s="157" t="inlineStr">
        <is>
          <t xml:space="preserve">Line of Credit </t>
        </is>
      </c>
      <c r="C35" s="162">
        <f>'6a-CashFlowYear1'!C26</f>
        <v/>
      </c>
      <c r="D35" s="162">
        <f>'6a-CashFlowYear1'!D26</f>
        <v/>
      </c>
      <c r="E35" s="162">
        <f>'6a-CashFlowYear1'!E26</f>
        <v/>
      </c>
      <c r="F35" s="162">
        <f>'6a-CashFlowYear1'!F26</f>
        <v/>
      </c>
      <c r="G35" s="162">
        <f>'6a-CashFlowYear1'!G26</f>
        <v/>
      </c>
      <c r="H35" s="162">
        <f>'6a-CashFlowYear1'!H26</f>
        <v/>
      </c>
      <c r="I35" s="162">
        <f>'6a-CashFlowYear1'!I26</f>
        <v/>
      </c>
      <c r="J35" s="162">
        <f>'6a-CashFlowYear1'!J26</f>
        <v/>
      </c>
      <c r="K35" s="162">
        <f>'6a-CashFlowYear1'!K26</f>
        <v/>
      </c>
      <c r="L35" s="162">
        <f>'6a-CashFlowYear1'!L26</f>
        <v/>
      </c>
      <c r="M35" s="162">
        <f>'6a-CashFlowYear1'!M26</f>
        <v/>
      </c>
      <c r="N35" s="162">
        <f>'6a-CashFlowYear1'!N26</f>
        <v/>
      </c>
      <c r="O35" s="60">
        <f>SUM(C35:N35)</f>
        <v/>
      </c>
    </row>
    <row r="36">
      <c r="B36" s="156" t="inlineStr">
        <is>
          <t>Bad Debt Expense</t>
        </is>
      </c>
      <c r="C36" s="162">
        <f>+'7a-IncomeStatementYear1'!C56</f>
        <v/>
      </c>
      <c r="D36" s="162">
        <f>+'7a-IncomeStatementYear1'!D56</f>
        <v/>
      </c>
      <c r="E36" s="162">
        <f>+'7a-IncomeStatementYear1'!E56</f>
        <v/>
      </c>
      <c r="F36" s="162">
        <f>+'7a-IncomeStatementYear1'!F56</f>
        <v/>
      </c>
      <c r="G36" s="162">
        <f>+'7a-IncomeStatementYear1'!G56</f>
        <v/>
      </c>
      <c r="H36" s="162">
        <f>+'7a-IncomeStatementYear1'!H56</f>
        <v/>
      </c>
      <c r="I36" s="162">
        <f>+'7a-IncomeStatementYear1'!I56</f>
        <v/>
      </c>
      <c r="J36" s="162">
        <f>+'7a-IncomeStatementYear1'!J56</f>
        <v/>
      </c>
      <c r="K36" s="162">
        <f>+'7a-IncomeStatementYear1'!K56</f>
        <v/>
      </c>
      <c r="L36" s="162">
        <f>+'7a-IncomeStatementYear1'!L56</f>
        <v/>
      </c>
      <c r="M36" s="162">
        <f>+'7a-IncomeStatementYear1'!M56</f>
        <v/>
      </c>
      <c r="N36" s="162">
        <f>+'7a-IncomeStatementYear1'!N56</f>
        <v/>
      </c>
      <c r="O36" s="60">
        <f>SUM(C36:N36)</f>
        <v/>
      </c>
    </row>
    <row r="37">
      <c r="B37" s="155" t="inlineStr">
        <is>
          <t>Total Other Expenses</t>
        </is>
      </c>
      <c r="C37" s="300">
        <f>SUM(C28:C36)</f>
        <v/>
      </c>
      <c r="D37" s="300">
        <f>SUM(D28:D36)</f>
        <v/>
      </c>
      <c r="E37" s="300">
        <f>SUM(E28:E36)</f>
        <v/>
      </c>
      <c r="F37" s="300">
        <f>SUM(F28:F36)</f>
        <v/>
      </c>
      <c r="G37" s="300">
        <f>SUM(G28:G36)</f>
        <v/>
      </c>
      <c r="H37" s="300">
        <f>SUM(H28:H36)</f>
        <v/>
      </c>
      <c r="I37" s="300">
        <f>SUM(I28:I36)</f>
        <v/>
      </c>
      <c r="J37" s="300">
        <f>SUM(J28:J36)</f>
        <v/>
      </c>
      <c r="K37" s="300">
        <f>SUM(K28:K36)</f>
        <v/>
      </c>
      <c r="L37" s="300">
        <f>SUM(L28:L36)</f>
        <v/>
      </c>
      <c r="M37" s="300">
        <f>SUM(M28:M36)</f>
        <v/>
      </c>
      <c r="N37" s="300">
        <f>SUM(N28:N36)</f>
        <v/>
      </c>
      <c r="O37" s="60">
        <f>SUM(C37:N37)</f>
        <v/>
      </c>
    </row>
    <row r="38">
      <c r="B38" s="7" t="inlineStr">
        <is>
          <t>Total Fixed Operating Expenses</t>
        </is>
      </c>
      <c r="C38" s="36">
        <f>C25+C37</f>
        <v/>
      </c>
      <c r="D38" s="36">
        <f>D25+D37</f>
        <v/>
      </c>
      <c r="E38" s="36">
        <f>E25+E37</f>
        <v/>
      </c>
      <c r="F38" s="36">
        <f>F25+F37</f>
        <v/>
      </c>
      <c r="G38" s="36">
        <f>G25+G37</f>
        <v/>
      </c>
      <c r="H38" s="36">
        <f>H25+H37</f>
        <v/>
      </c>
      <c r="I38" s="36">
        <f>I25+I37</f>
        <v/>
      </c>
      <c r="J38" s="36">
        <f>J25+J37</f>
        <v/>
      </c>
      <c r="K38" s="36">
        <f>K25+K37</f>
        <v/>
      </c>
      <c r="L38" s="36">
        <f>L25+L37</f>
        <v/>
      </c>
      <c r="M38" s="36">
        <f>M25+M37</f>
        <v/>
      </c>
      <c r="N38" s="36">
        <f>N25+N37</f>
        <v/>
      </c>
      <c r="O38" s="36">
        <f>SUM(C38:N38)</f>
        <v/>
      </c>
      <c r="R38" s="561" t="n"/>
    </row>
  </sheetData>
  <sheetProtection selectLockedCells="0" selectUnlockedCells="0" sheet="1" objects="1" insertRows="1" insertHyperlinks="1" autoFilter="1" scenarios="1" formatColumns="0" deleteColumns="1" insertColumns="1" pivotTables="1" deleteRows="1" formatCells="1" formatRows="0" sort="1" password="CC3D"/>
  <mergeCells count="2">
    <mergeCell ref="D7:O7"/>
    <mergeCell ref="C4:D4"/>
  </mergeCells>
  <conditionalFormatting sqref="C10:N24">
    <cfRule type="containsBlanks" priority="2" dxfId="0">
      <formula>LEN(TRIM(C10))=0</formula>
    </cfRule>
  </conditionalFormatting>
  <pageMargins left="0.25" right="0.25" top="0.75" bottom="0.75" header="0.3" footer="0.3"/>
  <pageSetup orientation="landscape" scale="74"/>
  <headerFooter scaleWithDoc="0">
    <oddHeader>&amp;C&amp;"Gill Sans MT,Regular"&amp;12 Operating Expenses Year 1</oddHeader>
    <oddFooter>&amp;L&amp;"Gill Sans MT,Regular"&amp;12 &amp;F&amp;C&amp;"Gill Sans MT,Regular"&amp;12 &amp;A&amp;R&amp;"Gill Sans MT,Regular"&amp;12 &amp;D &amp;T</oddFooter>
    <evenHeader/>
    <evenFooter/>
    <firstHeader/>
    <firstFooter/>
  </headerFooter>
</worksheet>
</file>

<file path=xl/worksheets/sheet9.xml><?xml version="1.0" encoding="utf-8"?>
<worksheet xmlns="http://schemas.openxmlformats.org/spreadsheetml/2006/main">
  <sheetPr codeName="Sheet6">
    <tabColor rgb="FFFFC95B"/>
    <outlinePr summaryBelow="1" summaryRight="1"/>
    <pageSetUpPr autoPageBreaks="0"/>
  </sheetPr>
  <dimension ref="B2:M36"/>
  <sheetViews>
    <sheetView zoomScaleNormal="100" zoomScalePageLayoutView="70" workbookViewId="0">
      <selection activeCell="D8" sqref="D8"/>
    </sheetView>
  </sheetViews>
  <sheetFormatPr baseColWidth="8" defaultColWidth="8.83984375" defaultRowHeight="13.5"/>
  <cols>
    <col width="6.83984375" customWidth="1" style="46" min="1" max="1"/>
    <col width="46.68359375" bestFit="1" customWidth="1" style="46" min="2" max="2"/>
    <col width="15.68359375" customWidth="1" style="46" min="3" max="3"/>
    <col width="19" bestFit="1" customWidth="1" style="46" min="4" max="4"/>
    <col width="15.68359375" customWidth="1" style="46" min="5" max="5"/>
    <col width="19.26171875" bestFit="1" customWidth="1" style="46" min="6" max="6"/>
    <col width="15.68359375" customWidth="1" style="46" min="7" max="7"/>
    <col width="5.26171875" bestFit="1" customWidth="1" style="46" min="8" max="8"/>
    <col width="8.83984375" customWidth="1" style="46" min="9" max="16384"/>
  </cols>
  <sheetData>
    <row r="2" ht="17.25" customHeight="1">
      <c r="B2" s="504" t="inlineStr">
        <is>
          <t>Operating Expenses Years 1-3</t>
        </is>
      </c>
      <c r="F2" s="148" t="n"/>
      <c r="G2" s="148" t="n"/>
    </row>
    <row r="3" ht="18" customHeight="1">
      <c r="B3" s="159" t="n"/>
      <c r="C3" s="159" t="n"/>
      <c r="F3" s="148" t="n"/>
      <c r="G3" s="148" t="n"/>
    </row>
    <row r="4" ht="18" customHeight="1">
      <c r="B4" s="504" t="inlineStr">
        <is>
          <t>Prepared By:</t>
        </is>
      </c>
      <c r="C4" s="504" t="inlineStr">
        <is>
          <t>Company Name:</t>
        </is>
      </c>
      <c r="D4" s="512" t="n"/>
      <c r="E4" s="512" t="n"/>
      <c r="F4" s="512" t="n"/>
      <c r="G4" s="148" t="n"/>
    </row>
    <row r="5">
      <c r="B5" s="512">
        <f>IF(ISBLANK(Directions!C10), "Owner", Directions!C10)</f>
        <v/>
      </c>
      <c r="C5" s="512">
        <f>IF(ISBLANK(Directions!D10), "Company 1", Directions!D10)</f>
        <v/>
      </c>
      <c r="G5" s="161" t="n"/>
      <c r="I5" s="319" t="n"/>
      <c r="J5" s="319" t="n"/>
      <c r="K5" s="319" t="n"/>
      <c r="L5" s="319" t="n"/>
      <c r="M5" s="319" t="n"/>
    </row>
    <row r="6">
      <c r="I6" s="319" t="n"/>
      <c r="J6" s="319" t="n"/>
      <c r="K6" s="319" t="n"/>
      <c r="L6" s="319" t="n"/>
      <c r="M6" s="319" t="n"/>
    </row>
    <row r="7" ht="17.25" customHeight="1" thickBot="1">
      <c r="B7" s="506" t="inlineStr">
        <is>
          <t>Line Item</t>
        </is>
      </c>
      <c r="C7" s="506">
        <f>IF(Directions!F10&gt;0,Directions!F10,"First Year")</f>
        <v/>
      </c>
      <c r="D7" s="506" t="inlineStr">
        <is>
          <t>Growth Rate 1 to 2</t>
        </is>
      </c>
      <c r="E7" s="506">
        <f>IF(Directions!F10&gt;0,Directions!F10+1,"Second Year")</f>
        <v/>
      </c>
      <c r="F7" s="506" t="inlineStr">
        <is>
          <t>Growth Rate 2 to 3</t>
        </is>
      </c>
      <c r="G7" s="506">
        <f>IF(Directions!F10&gt;0,Directions!F10+2,"Third Year")</f>
        <v/>
      </c>
      <c r="I7" s="319" t="n"/>
      <c r="J7" s="319" t="n"/>
      <c r="K7" s="319" t="n"/>
      <c r="L7" s="319" t="n"/>
      <c r="M7" s="319" t="n"/>
    </row>
    <row r="8" ht="13.8" customHeight="1" thickTop="1">
      <c r="B8" s="466">
        <f>'5a-OpExYear1'!B10</f>
        <v/>
      </c>
      <c r="C8" s="358">
        <f>'5a-OpExYear1'!O10</f>
        <v/>
      </c>
      <c r="D8" s="330" t="n">
        <v>0.03</v>
      </c>
      <c r="E8" s="358">
        <f>C8*(1+D8)</f>
        <v/>
      </c>
      <c r="F8" s="330" t="n">
        <v>0.03</v>
      </c>
      <c r="G8" s="358">
        <f>E8*(1+F8)</f>
        <v/>
      </c>
    </row>
    <row r="9">
      <c r="B9" s="466">
        <f>'5a-OpExYear1'!B11</f>
        <v/>
      </c>
      <c r="C9" s="186">
        <f>'5a-OpExYear1'!O11</f>
        <v/>
      </c>
      <c r="D9" s="140" t="n">
        <v>0.03</v>
      </c>
      <c r="E9" s="186">
        <f>C9*(1+D9)</f>
        <v/>
      </c>
      <c r="F9" s="140" t="n">
        <v>0.03</v>
      </c>
      <c r="G9" s="186">
        <f>E9*(1+F9)</f>
        <v/>
      </c>
    </row>
    <row r="10">
      <c r="B10" s="466">
        <f>'5a-OpExYear1'!B12</f>
        <v/>
      </c>
      <c r="C10" s="186">
        <f>'5a-OpExYear1'!O12</f>
        <v/>
      </c>
      <c r="D10" s="140" t="n">
        <v>0.05</v>
      </c>
      <c r="E10" s="186">
        <f>C10*(1+D10)</f>
        <v/>
      </c>
      <c r="F10" s="140" t="n">
        <v>0.05</v>
      </c>
      <c r="G10" s="186">
        <f>E10*(1+F10)</f>
        <v/>
      </c>
    </row>
    <row r="11">
      <c r="B11" s="466">
        <f>'5a-OpExYear1'!B13</f>
        <v/>
      </c>
      <c r="C11" s="186">
        <f>'5a-OpExYear1'!O13</f>
        <v/>
      </c>
      <c r="D11" s="140" t="n">
        <v>0.03</v>
      </c>
      <c r="E11" s="186">
        <f>C11*(1+D11)</f>
        <v/>
      </c>
      <c r="F11" s="140" t="n">
        <v>0.03</v>
      </c>
      <c r="G11" s="186">
        <f>E11*(1+F11)</f>
        <v/>
      </c>
    </row>
    <row r="12">
      <c r="B12" s="466">
        <f>'5a-OpExYear1'!B14</f>
        <v/>
      </c>
      <c r="C12" s="186">
        <f>'5a-OpExYear1'!O14</f>
        <v/>
      </c>
      <c r="D12" s="140" t="n">
        <v>0.03</v>
      </c>
      <c r="E12" s="186">
        <f>C12*(1+D12)</f>
        <v/>
      </c>
      <c r="F12" s="140" t="n">
        <v>0.03</v>
      </c>
      <c r="G12" s="186">
        <f>E12*(1+F12)</f>
        <v/>
      </c>
    </row>
    <row r="13">
      <c r="B13" s="466">
        <f>'5a-OpExYear1'!B15</f>
        <v/>
      </c>
      <c r="C13" s="186">
        <f>'5a-OpExYear1'!O15</f>
        <v/>
      </c>
      <c r="D13" s="140" t="n">
        <v>0.03</v>
      </c>
      <c r="E13" s="186">
        <f>C13*(1+D13)</f>
        <v/>
      </c>
      <c r="F13" s="140" t="n">
        <v>0.03</v>
      </c>
      <c r="G13" s="186">
        <f>E13*(1+F13)</f>
        <v/>
      </c>
    </row>
    <row r="14">
      <c r="B14" s="466">
        <f>'5a-OpExYear1'!B16</f>
        <v/>
      </c>
      <c r="C14" s="186">
        <f>'5a-OpExYear1'!O16</f>
        <v/>
      </c>
      <c r="D14" s="140" t="n">
        <v>0.05</v>
      </c>
      <c r="E14" s="186">
        <f>C14*(1+D14)</f>
        <v/>
      </c>
      <c r="F14" s="140" t="n">
        <v>0.05</v>
      </c>
      <c r="G14" s="186">
        <f>E14*(1+F14)</f>
        <v/>
      </c>
    </row>
    <row r="15">
      <c r="B15" s="466">
        <f>'5a-OpExYear1'!B17</f>
        <v/>
      </c>
      <c r="C15" s="186">
        <f>'5a-OpExYear1'!O17</f>
        <v/>
      </c>
      <c r="D15" s="140" t="n">
        <v>0.03</v>
      </c>
      <c r="E15" s="186">
        <f>C15*(1+D15)</f>
        <v/>
      </c>
      <c r="F15" s="140" t="n">
        <v>0.03</v>
      </c>
      <c r="G15" s="186">
        <f>E15*(1+F15)</f>
        <v/>
      </c>
    </row>
    <row r="16">
      <c r="B16" s="466">
        <f>'5a-OpExYear1'!B18</f>
        <v/>
      </c>
      <c r="C16" s="186">
        <f>'5a-OpExYear1'!O18</f>
        <v/>
      </c>
      <c r="D16" s="140" t="n">
        <v>0.03</v>
      </c>
      <c r="E16" s="186">
        <f>C16*(1+D16)</f>
        <v/>
      </c>
      <c r="F16" s="140" t="n">
        <v>0.03</v>
      </c>
      <c r="G16" s="186">
        <f>E16*(1+F16)</f>
        <v/>
      </c>
    </row>
    <row r="17">
      <c r="B17" s="466">
        <f>'5a-OpExYear1'!B19</f>
        <v/>
      </c>
      <c r="C17" s="186">
        <f>'5a-OpExYear1'!O19</f>
        <v/>
      </c>
      <c r="D17" s="140" t="n">
        <v>0.03</v>
      </c>
      <c r="E17" s="186">
        <f>C17*(1+D17)</f>
        <v/>
      </c>
      <c r="F17" s="140" t="n">
        <v>0.03</v>
      </c>
      <c r="G17" s="186">
        <f>E17*(1+F17)</f>
        <v/>
      </c>
    </row>
    <row r="18">
      <c r="B18" s="466">
        <f>'5a-OpExYear1'!B20</f>
        <v/>
      </c>
      <c r="C18" s="186">
        <f>'5a-OpExYear1'!O20</f>
        <v/>
      </c>
      <c r="D18" s="140" t="n">
        <v>0.05</v>
      </c>
      <c r="E18" s="186">
        <f>C18*(1+D18)</f>
        <v/>
      </c>
      <c r="F18" s="140" t="n">
        <v>0.05</v>
      </c>
      <c r="G18" s="186">
        <f>E18*(1+F18)</f>
        <v/>
      </c>
    </row>
    <row r="19">
      <c r="B19" s="466">
        <f>'5a-OpExYear1'!B21</f>
        <v/>
      </c>
      <c r="C19" s="186">
        <f>'5a-OpExYear1'!O21</f>
        <v/>
      </c>
      <c r="D19" s="140" t="n">
        <v>0.03</v>
      </c>
      <c r="E19" s="186">
        <f>C19*(1+D19)</f>
        <v/>
      </c>
      <c r="F19" s="140" t="n">
        <v>0.03</v>
      </c>
      <c r="G19" s="186">
        <f>E19*(1+F19)</f>
        <v/>
      </c>
    </row>
    <row r="20">
      <c r="B20" s="466">
        <f>'5a-OpExYear1'!B22</f>
        <v/>
      </c>
      <c r="C20" s="186">
        <f>'5a-OpExYear1'!O22</f>
        <v/>
      </c>
      <c r="D20" s="140" t="n">
        <v>0.03</v>
      </c>
      <c r="E20" s="186">
        <f>C20*(1+D20)</f>
        <v/>
      </c>
      <c r="F20" s="140" t="n">
        <v>0.03</v>
      </c>
      <c r="G20" s="186">
        <f>E20*(1+F20)</f>
        <v/>
      </c>
    </row>
    <row r="21">
      <c r="B21" s="466">
        <f>'5a-OpExYear1'!B23</f>
        <v/>
      </c>
      <c r="C21" s="186">
        <f>'5a-OpExYear1'!O23</f>
        <v/>
      </c>
      <c r="D21" s="140" t="n">
        <v>0.03</v>
      </c>
      <c r="E21" s="186">
        <f>C21*(1+D21)</f>
        <v/>
      </c>
      <c r="F21" s="140" t="n">
        <v>0.03</v>
      </c>
      <c r="G21" s="186">
        <f>E21*(1+F21)</f>
        <v/>
      </c>
    </row>
    <row r="22">
      <c r="B22" s="466">
        <f>'5a-OpExYear1'!B24</f>
        <v/>
      </c>
      <c r="C22" s="186">
        <f>'5a-OpExYear1'!O24</f>
        <v/>
      </c>
      <c r="D22" s="140" t="n">
        <v>0.03</v>
      </c>
      <c r="E22" s="186">
        <f>C22*(1+D22)</f>
        <v/>
      </c>
      <c r="F22" s="140" t="n">
        <v>0.03</v>
      </c>
      <c r="G22" s="186">
        <f>E22*(1+F22)</f>
        <v/>
      </c>
    </row>
    <row r="23">
      <c r="B23" s="301" t="inlineStr">
        <is>
          <t>Total Expenses</t>
        </is>
      </c>
      <c r="C23" s="86">
        <f>SUM(C8:C22)</f>
        <v/>
      </c>
      <c r="D23" s="140" t="n"/>
      <c r="E23" s="86">
        <f>SUM(E8:E22)</f>
        <v/>
      </c>
      <c r="F23" s="140" t="n"/>
      <c r="G23" s="86">
        <f>SUM(G8:G22)</f>
        <v/>
      </c>
    </row>
    <row r="24">
      <c r="B24" s="153" t="n"/>
      <c r="C24" s="186" t="n"/>
      <c r="D24" s="85" t="n"/>
      <c r="E24" s="186" t="n"/>
      <c r="F24" s="85" t="n"/>
      <c r="G24" s="186" t="n"/>
    </row>
    <row r="25">
      <c r="B25" s="51" t="inlineStr">
        <is>
          <t>Other Expenses</t>
        </is>
      </c>
      <c r="C25" s="186" t="n"/>
      <c r="D25" s="85" t="n"/>
      <c r="E25" s="186" t="n"/>
      <c r="F25" s="85" t="n"/>
      <c r="G25" s="186" t="n"/>
    </row>
    <row r="26">
      <c r="B26" s="156" t="inlineStr">
        <is>
          <t xml:space="preserve">Depreciation </t>
        </is>
      </c>
      <c r="C26" s="162">
        <f>'5a-OpExYear1'!O28</f>
        <v/>
      </c>
      <c r="D26" s="163" t="n"/>
      <c r="E26" s="186">
        <f>'Amortization&amp;Depreciation'!O123</f>
        <v/>
      </c>
      <c r="F26" s="163" t="n"/>
      <c r="G26" s="186">
        <f>'Amortization&amp;Depreciation'!O127</f>
        <v/>
      </c>
    </row>
    <row r="27">
      <c r="B27" s="156" t="inlineStr">
        <is>
          <t>Interest</t>
        </is>
      </c>
      <c r="C27" s="164" t="n"/>
      <c r="D27" s="163" t="n"/>
      <c r="E27" s="186" t="n"/>
      <c r="F27" s="163" t="n"/>
      <c r="G27" s="186" t="n"/>
    </row>
    <row r="28">
      <c r="B28" s="157">
        <f>'1-StartingPoint'!B37</f>
        <v/>
      </c>
      <c r="C28" s="162">
        <f>'5a-OpExYear1'!O30</f>
        <v/>
      </c>
      <c r="D28" s="163" t="n"/>
      <c r="E28" s="186">
        <f>IF('1-StartingPoint'!$F37&lt;36, 0, 'Amortization&amp;Depreciation'!O19)</f>
        <v/>
      </c>
      <c r="F28" s="163" t="n"/>
      <c r="G28" s="186">
        <f>IF('1-StartingPoint'!$F37&lt;36, 0, 'Amortization&amp;Depreciation'!O23)</f>
        <v/>
      </c>
    </row>
    <row r="29">
      <c r="B29" s="157">
        <f>'1-StartingPoint'!B38</f>
        <v/>
      </c>
      <c r="C29" s="162">
        <f>'5a-OpExYear1'!O31</f>
        <v/>
      </c>
      <c r="D29" s="163" t="n"/>
      <c r="E29" s="186">
        <f>IF('1-StartingPoint'!$F38&lt;36, 0, 'Amortization&amp;Depreciation'!O39)</f>
        <v/>
      </c>
      <c r="F29" s="163" t="n"/>
      <c r="G29" s="186">
        <f>IF('1-StartingPoint'!$F38&lt;36, 0, 'Amortization&amp;Depreciation'!O43)</f>
        <v/>
      </c>
    </row>
    <row r="30">
      <c r="B30" s="157">
        <f>'1-StartingPoint'!B39</f>
        <v/>
      </c>
      <c r="C30" s="162">
        <f>'5a-OpExYear1'!O32</f>
        <v/>
      </c>
      <c r="D30" s="163" t="n"/>
      <c r="E30" s="186">
        <f>IF('1-StartingPoint'!$F39&lt;36, 0, 'Amortization&amp;Depreciation'!O59)</f>
        <v/>
      </c>
      <c r="F30" s="163" t="n"/>
      <c r="G30" s="186">
        <f>IF('1-StartingPoint'!$F39&lt;36, 0, 'Amortization&amp;Depreciation'!O63)</f>
        <v/>
      </c>
    </row>
    <row r="31">
      <c r="B31" s="157">
        <f>'1-StartingPoint'!B40</f>
        <v/>
      </c>
      <c r="C31" s="162">
        <f>'5a-OpExYear1'!O33</f>
        <v/>
      </c>
      <c r="D31" s="163" t="n"/>
      <c r="E31" s="186">
        <f>IF('1-StartingPoint'!$F40&lt;36, 0, 'Amortization&amp;Depreciation'!O79)</f>
        <v/>
      </c>
      <c r="F31" s="163" t="n"/>
      <c r="G31" s="186">
        <f>IF('1-StartingPoint'!$F40&lt;36, 0, 'Amortization&amp;Depreciation'!O83)</f>
        <v/>
      </c>
    </row>
    <row r="32">
      <c r="B32" s="157">
        <f>'1-StartingPoint'!B41</f>
        <v/>
      </c>
      <c r="C32" s="162">
        <f>'5a-OpExYear1'!O34</f>
        <v/>
      </c>
      <c r="D32" s="163" t="n"/>
      <c r="E32" s="186">
        <f>IF('1-StartingPoint'!$F41&lt;36, 0, 'Amortization&amp;Depreciation'!O99)</f>
        <v/>
      </c>
      <c r="F32" s="163" t="n"/>
      <c r="G32" s="186">
        <f>IF('1-StartingPoint'!$F41&lt;36, 0, 'Amortization&amp;Depreciation'!O103)</f>
        <v/>
      </c>
    </row>
    <row r="33">
      <c r="B33" s="157" t="inlineStr">
        <is>
          <t xml:space="preserve">Line of Credit </t>
        </is>
      </c>
      <c r="C33" s="162">
        <f>+'6a-CashFlowYear1'!O26</f>
        <v/>
      </c>
      <c r="D33" s="163" t="n"/>
      <c r="E33" s="358">
        <f>+'6b-CashFlowYrs1-3'!O25</f>
        <v/>
      </c>
      <c r="F33" s="163" t="n"/>
      <c r="G33" s="305">
        <f>'6b-CashFlowYrs1-3'!AB25</f>
        <v/>
      </c>
    </row>
    <row r="34">
      <c r="B34" s="156" t="inlineStr">
        <is>
          <t>Bad Debt Expense</t>
        </is>
      </c>
      <c r="C34" s="166">
        <f>+'5a-OpExYear1'!O36</f>
        <v/>
      </c>
      <c r="D34" s="163" t="n"/>
      <c r="E34" s="358" t="n"/>
      <c r="F34" s="163" t="n"/>
      <c r="G34" s="358" t="n"/>
    </row>
    <row r="35">
      <c r="B35" s="167" t="inlineStr">
        <is>
          <t>Total Other Expenses</t>
        </is>
      </c>
      <c r="C35" s="302">
        <f>SUM(C26:C34)</f>
        <v/>
      </c>
      <c r="D35" s="163" t="n"/>
      <c r="E35" s="350">
        <f>SUM(E26:E34)</f>
        <v/>
      </c>
      <c r="F35" s="163" t="n"/>
      <c r="G35" s="350">
        <f>SUM(G26:G34)</f>
        <v/>
      </c>
    </row>
    <row r="36">
      <c r="B36" s="26" t="inlineStr">
        <is>
          <t>Total Operating Expenses</t>
        </is>
      </c>
      <c r="C36" s="304">
        <f>SUM(C8:C22)+C35</f>
        <v/>
      </c>
      <c r="D36" s="7" t="n"/>
      <c r="E36" s="304">
        <f>SUM(E8:E22)+E35</f>
        <v/>
      </c>
      <c r="F36" s="7" t="n"/>
      <c r="G36" s="304">
        <f>SUM(G8:G22)+G35</f>
        <v/>
      </c>
    </row>
  </sheetData>
  <sheetProtection selectLockedCells="0" selectUnlockedCells="0" sheet="1" objects="1" insertRows="1" insertHyperlinks="1" autoFilter="1" scenarios="1" formatColumns="0" deleteColumns="1" insertColumns="1" pivotTables="1" deleteRows="1" formatCells="1" formatRows="0" sort="1" password="CC3D"/>
  <mergeCells count="2">
    <mergeCell ref="C5:F5"/>
    <mergeCell ref="B2:C2"/>
  </mergeCells>
  <conditionalFormatting sqref="E26 G26">
    <cfRule type="containsBlanks" priority="3" dxfId="24">
      <formula>LEN(TRIM(E26))=0</formula>
    </cfRule>
  </conditionalFormatting>
  <printOptions horizontalCentered="1"/>
  <pageMargins left="0.25" right="0.25" top="0.75" bottom="0.75" header="0.3" footer="0.3"/>
  <pageSetup orientation="landscape" scale="94"/>
  <headerFooter scaleWithDoc="0">
    <oddHeader>&amp;C&amp;"Gill Sans MT,Regular"&amp;12 Operating Expenses Years 1-3</oddHeader>
    <oddFooter>&amp;L&amp;"Gill Sans MT,Regular"&amp;12 &amp;F&amp;C&amp;"Gill Sans MT,Regular"&amp;12 &amp;A&amp;R&amp;"Gill Sans MT,Regular"&amp;12 &amp;D &amp;T</oddFooter>
    <evenHeader/>
    <evenFooter/>
    <firstHeader/>
    <firstFooter/>
  </headerFooter>
</worksheet>
</file>

<file path=xl/worksheets/sheet10.xml><?xml version="1.0" encoding="utf-8"?>
<worksheet xmlns="http://schemas.openxmlformats.org/spreadsheetml/2006/main">
  <sheetPr codeName="Sheet11">
    <tabColor rgb="FFFFC95B"/>
    <outlinePr summaryBelow="1" summaryRight="1"/>
    <pageSetUpPr fitToPage="1"/>
  </sheetPr>
  <dimension ref="B2:Q34"/>
  <sheetViews>
    <sheetView zoomScaleNormal="100" zoomScalePageLayoutView="80" workbookViewId="0">
      <selection activeCell="C17" sqref="C17"/>
    </sheetView>
  </sheetViews>
  <sheetFormatPr baseColWidth="8" defaultColWidth="8.83984375" defaultRowHeight="13.5"/>
  <cols>
    <col width="11.578125" customWidth="1" style="46" min="1" max="1"/>
    <col width="31.26171875" bestFit="1" customWidth="1" style="46" min="2" max="2"/>
    <col width="9.68359375" customWidth="1" style="46" min="3" max="10"/>
    <col width="10.41796875" bestFit="1" customWidth="1" style="46" min="11" max="11"/>
    <col width="9.68359375" customWidth="1" style="46" min="12" max="12"/>
    <col width="9.68359375" bestFit="1" customWidth="1" style="46" min="13" max="13"/>
    <col width="9.68359375" customWidth="1" style="46" min="14" max="14"/>
    <col width="9.15625" customWidth="1" style="46" min="15" max="15"/>
    <col width="14.26171875" bestFit="1" customWidth="1" style="46" min="16" max="16"/>
    <col width="5.83984375" bestFit="1" customWidth="1" style="46" min="17" max="17"/>
    <col width="7.83984375" bestFit="1" customWidth="1" style="46" min="18" max="18"/>
    <col width="8.83984375" customWidth="1" style="46" min="19" max="16384"/>
  </cols>
  <sheetData>
    <row r="2">
      <c r="B2" s="513" t="inlineStr">
        <is>
          <t>Cash Flow Forecast Year 1</t>
        </is>
      </c>
      <c r="E2" s="182" t="n"/>
      <c r="H2" s="182" t="n"/>
      <c r="P2" s="183" t="n"/>
      <c r="Q2" s="183" t="n"/>
    </row>
    <row r="3">
      <c r="H3" s="148" t="n"/>
    </row>
    <row r="4">
      <c r="B4" s="75" t="inlineStr">
        <is>
          <t>Prepared By:</t>
        </is>
      </c>
      <c r="C4" s="75" t="inlineStr">
        <is>
          <t>Company Name:</t>
        </is>
      </c>
      <c r="H4" s="148" t="n"/>
    </row>
    <row r="5">
      <c r="B5" s="46">
        <f>IF(ISBLANK(Directions!C10), "Owner", Directions!C10)</f>
        <v/>
      </c>
      <c r="C5" s="46">
        <f>IF(ISBLANK(Directions!D10), "Company 1", Directions!D10)</f>
        <v/>
      </c>
      <c r="H5" s="148" t="n"/>
    </row>
    <row r="7" ht="13.8" customHeight="1" thickBot="1">
      <c r="B7" s="506" t="n"/>
      <c r="C7" s="506">
        <f>'3a-SalesForecastYear1'!C16</f>
        <v/>
      </c>
      <c r="D7" s="506">
        <f>'3a-SalesForecastYear1'!D16</f>
        <v/>
      </c>
      <c r="E7" s="506">
        <f>'3a-SalesForecastYear1'!E16</f>
        <v/>
      </c>
      <c r="F7" s="506">
        <f>'3a-SalesForecastYear1'!F16</f>
        <v/>
      </c>
      <c r="G7" s="506">
        <f>'3a-SalesForecastYear1'!G16</f>
        <v/>
      </c>
      <c r="H7" s="506">
        <f>'3a-SalesForecastYear1'!H16</f>
        <v/>
      </c>
      <c r="I7" s="506">
        <f>'3a-SalesForecastYear1'!I16</f>
        <v/>
      </c>
      <c r="J7" s="506">
        <f>'3a-SalesForecastYear1'!J16</f>
        <v/>
      </c>
      <c r="K7" s="506">
        <f>'3a-SalesForecastYear1'!K16</f>
        <v/>
      </c>
      <c r="L7" s="506">
        <f>'3a-SalesForecastYear1'!L16</f>
        <v/>
      </c>
      <c r="M7" s="506">
        <f>'3a-SalesForecastYear1'!M16</f>
        <v/>
      </c>
      <c r="N7" s="506">
        <f>'3a-SalesForecastYear1'!N16</f>
        <v/>
      </c>
      <c r="O7" s="506" t="inlineStr">
        <is>
          <t>Totals</t>
        </is>
      </c>
    </row>
    <row r="8" ht="13.8" customHeight="1" thickTop="1">
      <c r="B8" s="349" t="inlineStr">
        <is>
          <t>Beginning Balance</t>
        </is>
      </c>
      <c r="C8" s="350">
        <f>Working_Capital</f>
        <v/>
      </c>
      <c r="D8" s="350">
        <f>C33</f>
        <v/>
      </c>
      <c r="E8" s="350">
        <f>D33</f>
        <v/>
      </c>
      <c r="F8" s="350">
        <f>E33</f>
        <v/>
      </c>
      <c r="G8" s="350">
        <f>F33</f>
        <v/>
      </c>
      <c r="H8" s="350">
        <f>G33</f>
        <v/>
      </c>
      <c r="I8" s="350">
        <f>H33</f>
        <v/>
      </c>
      <c r="J8" s="350">
        <f>I33</f>
        <v/>
      </c>
      <c r="K8" s="350">
        <f>J33</f>
        <v/>
      </c>
      <c r="L8" s="350">
        <f>K33</f>
        <v/>
      </c>
      <c r="M8" s="350">
        <f>L33</f>
        <v/>
      </c>
      <c r="N8" s="350">
        <f>M33</f>
        <v/>
      </c>
      <c r="O8" s="351" t="n"/>
    </row>
    <row r="9">
      <c r="B9" s="47" t="inlineStr">
        <is>
          <t>Cash Inflows</t>
        </is>
      </c>
      <c r="C9" s="49" t="n"/>
      <c r="D9" s="49" t="n"/>
      <c r="E9" s="49" t="n"/>
      <c r="F9" s="49" t="n"/>
      <c r="G9" s="49" t="n"/>
      <c r="H9" s="49" t="n"/>
      <c r="I9" s="49" t="n"/>
      <c r="J9" s="49" t="n"/>
      <c r="K9" s="49" t="n"/>
      <c r="L9" s="49" t="n"/>
      <c r="M9" s="49" t="n"/>
      <c r="N9" s="49" t="n"/>
      <c r="O9" s="49" t="n"/>
    </row>
    <row r="10">
      <c r="B10" s="184" t="inlineStr">
        <is>
          <t>Cash Sales</t>
        </is>
      </c>
      <c r="C10" s="185">
        <f>'3a-SalesForecastYear1'!C53*'4-AdditionalInputs'!$C$9</f>
        <v/>
      </c>
      <c r="D10" s="186">
        <f>'3a-SalesForecastYear1'!D53*'4-AdditionalInputs'!$C$9</f>
        <v/>
      </c>
      <c r="E10" s="186">
        <f>'3a-SalesForecastYear1'!E53*'4-AdditionalInputs'!$C$9</f>
        <v/>
      </c>
      <c r="F10" s="186">
        <f>'3a-SalesForecastYear1'!F53*'4-AdditionalInputs'!$C$9</f>
        <v/>
      </c>
      <c r="G10" s="186">
        <f>'3a-SalesForecastYear1'!G53*'4-AdditionalInputs'!$C$9</f>
        <v/>
      </c>
      <c r="H10" s="186">
        <f>'3a-SalesForecastYear1'!H53*'4-AdditionalInputs'!$C$9</f>
        <v/>
      </c>
      <c r="I10" s="186">
        <f>'3a-SalesForecastYear1'!I53*'4-AdditionalInputs'!$C$9</f>
        <v/>
      </c>
      <c r="J10" s="186">
        <f>'3a-SalesForecastYear1'!J53*'4-AdditionalInputs'!$C$9</f>
        <v/>
      </c>
      <c r="K10" s="186">
        <f>'3a-SalesForecastYear1'!K53*'4-AdditionalInputs'!$C$9</f>
        <v/>
      </c>
      <c r="L10" s="186">
        <f>'3a-SalesForecastYear1'!L53*'4-AdditionalInputs'!$C$9</f>
        <v/>
      </c>
      <c r="M10" s="186">
        <f>'3a-SalesForecastYear1'!M53*'4-AdditionalInputs'!$C$9</f>
        <v/>
      </c>
      <c r="N10" s="186">
        <f>'3a-SalesForecastYear1'!N53*'4-AdditionalInputs'!$C$9</f>
        <v/>
      </c>
      <c r="O10" s="86">
        <f>SUM(C10:N10)</f>
        <v/>
      </c>
    </row>
    <row r="11">
      <c r="B11" s="184" t="inlineStr">
        <is>
          <t xml:space="preserve">Accounts Receivable </t>
        </is>
      </c>
      <c r="C11" s="186" t="n">
        <v>0</v>
      </c>
      <c r="D11" s="186">
        <f>('3a-SalesForecastYear1'!C53*'4-AdditionalInputs'!$C$10)</f>
        <v/>
      </c>
      <c r="E11" s="186">
        <f>('3a-SalesForecastYear1'!D53*'4-AdditionalInputs'!$C$10)+('3a-SalesForecastYear1'!C53*'4-AdditionalInputs'!$C$11)</f>
        <v/>
      </c>
      <c r="F11" s="186">
        <f>('3a-SalesForecastYear1'!E53*'4-AdditionalInputs'!$C$10)+('3a-SalesForecastYear1'!D53*'4-AdditionalInputs'!$C$11)</f>
        <v/>
      </c>
      <c r="G11" s="186">
        <f>('3a-SalesForecastYear1'!F53*'4-AdditionalInputs'!$C$10)+('3a-SalesForecastYear1'!E53*'4-AdditionalInputs'!$C$11)</f>
        <v/>
      </c>
      <c r="H11" s="186">
        <f>('3a-SalesForecastYear1'!G53*'4-AdditionalInputs'!$C$10)+('3a-SalesForecastYear1'!F53*'4-AdditionalInputs'!$C$11)</f>
        <v/>
      </c>
      <c r="I11" s="186">
        <f>('3a-SalesForecastYear1'!H53*'4-AdditionalInputs'!$C$10)+('3a-SalesForecastYear1'!G53*'4-AdditionalInputs'!$C$11)</f>
        <v/>
      </c>
      <c r="J11" s="186">
        <f>('3a-SalesForecastYear1'!I53*'4-AdditionalInputs'!$C$10)+('3a-SalesForecastYear1'!H53*'4-AdditionalInputs'!$C$11)</f>
        <v/>
      </c>
      <c r="K11" s="186">
        <f>('3a-SalesForecastYear1'!J53*'4-AdditionalInputs'!$C$10)+('3a-SalesForecastYear1'!I53*'4-AdditionalInputs'!$C$11)</f>
        <v/>
      </c>
      <c r="L11" s="186">
        <f>('3a-SalesForecastYear1'!K53*'4-AdditionalInputs'!$C$10)+('3a-SalesForecastYear1'!J53*'4-AdditionalInputs'!$C$11)</f>
        <v/>
      </c>
      <c r="M11" s="186">
        <f>('3a-SalesForecastYear1'!L53*'4-AdditionalInputs'!$C$10)+('3a-SalesForecastYear1'!K53*'4-AdditionalInputs'!$C$11)</f>
        <v/>
      </c>
      <c r="N11" s="186">
        <f>('3a-SalesForecastYear1'!M53*'4-AdditionalInputs'!$C$10)+('3a-SalesForecastYear1'!L53*'4-AdditionalInputs'!$C$11)</f>
        <v/>
      </c>
      <c r="O11" s="86">
        <f>SUM(C11:N11)</f>
        <v/>
      </c>
    </row>
    <row r="12">
      <c r="B12" s="26" t="inlineStr">
        <is>
          <t>Total Cash Inflows</t>
        </is>
      </c>
      <c r="C12" s="86">
        <f>SUM(C10:C11)</f>
        <v/>
      </c>
      <c r="D12" s="86">
        <f>SUM(D10:D11)</f>
        <v/>
      </c>
      <c r="E12" s="86">
        <f>SUM(E10:E11)</f>
        <v/>
      </c>
      <c r="F12" s="86">
        <f>SUM(F10:F11)</f>
        <v/>
      </c>
      <c r="G12" s="86">
        <f>SUM(G10:G11)</f>
        <v/>
      </c>
      <c r="H12" s="86">
        <f>SUM(H10:H11)</f>
        <v/>
      </c>
      <c r="I12" s="86">
        <f>SUM(I10:I11)</f>
        <v/>
      </c>
      <c r="J12" s="86">
        <f>SUM(J10:J11)</f>
        <v/>
      </c>
      <c r="K12" s="86">
        <f>SUM(K10:K11)</f>
        <v/>
      </c>
      <c r="L12" s="86">
        <f>SUM(L10:L11)</f>
        <v/>
      </c>
      <c r="M12" s="86">
        <f>SUM(M10:M11)</f>
        <v/>
      </c>
      <c r="N12" s="86">
        <f>SUM(N10:N11)</f>
        <v/>
      </c>
      <c r="O12" s="86">
        <f>SUM(O10:O11)</f>
        <v/>
      </c>
    </row>
    <row r="13">
      <c r="B13" s="26" t="n"/>
      <c r="C13" s="186" t="n"/>
      <c r="D13" s="186" t="n"/>
      <c r="E13" s="186" t="n"/>
      <c r="F13" s="186" t="n"/>
      <c r="G13" s="186" t="n"/>
      <c r="H13" s="186" t="n"/>
      <c r="I13" s="186" t="n"/>
      <c r="J13" s="186" t="n"/>
      <c r="K13" s="186" t="n"/>
      <c r="L13" s="186" t="n"/>
      <c r="M13" s="186" t="n"/>
      <c r="N13" s="186" t="n"/>
      <c r="O13" s="86" t="n"/>
    </row>
    <row r="14">
      <c r="B14" s="47" t="inlineStr">
        <is>
          <t>Cash Outflows</t>
        </is>
      </c>
      <c r="C14" s="186" t="n"/>
      <c r="D14" s="186" t="n"/>
      <c r="E14" s="186" t="n"/>
      <c r="F14" s="186" t="n"/>
      <c r="G14" s="186" t="n"/>
      <c r="H14" s="186" t="n"/>
      <c r="I14" s="186" t="n"/>
      <c r="J14" s="186" t="n"/>
      <c r="K14" s="186" t="n"/>
      <c r="L14" s="186" t="n"/>
      <c r="M14" s="186" t="n"/>
      <c r="N14" s="186" t="n"/>
      <c r="O14" s="86" t="n"/>
    </row>
    <row r="15">
      <c r="B15" s="184" t="inlineStr">
        <is>
          <t>Investing Activities</t>
        </is>
      </c>
      <c r="C15" s="186" t="n"/>
      <c r="D15" s="186" t="n"/>
      <c r="E15" s="186" t="n"/>
      <c r="F15" s="186" t="n"/>
      <c r="G15" s="186" t="n"/>
      <c r="H15" s="186" t="n"/>
      <c r="I15" s="186" t="n"/>
      <c r="J15" s="186" t="n"/>
      <c r="K15" s="186" t="n"/>
      <c r="L15" s="186" t="n"/>
      <c r="M15" s="186" t="n"/>
      <c r="N15" s="186" t="n"/>
      <c r="O15" s="86" t="n"/>
    </row>
    <row r="16">
      <c r="B16" s="187" t="inlineStr">
        <is>
          <t>New Fixed Asset Purchases</t>
        </is>
      </c>
      <c r="C16" s="186" t="n">
        <v>0</v>
      </c>
      <c r="D16" s="186">
        <f>'4-AdditionalInputs'!E35</f>
        <v/>
      </c>
      <c r="E16" s="186">
        <f>'4-AdditionalInputs'!F35</f>
        <v/>
      </c>
      <c r="F16" s="186">
        <f>'4-AdditionalInputs'!G35</f>
        <v/>
      </c>
      <c r="G16" s="186">
        <f>'4-AdditionalInputs'!H35</f>
        <v/>
      </c>
      <c r="H16" s="186">
        <f>'4-AdditionalInputs'!I35</f>
        <v/>
      </c>
      <c r="I16" s="186">
        <f>'4-AdditionalInputs'!J35</f>
        <v/>
      </c>
      <c r="J16" s="186">
        <f>'4-AdditionalInputs'!K35</f>
        <v/>
      </c>
      <c r="K16" s="186">
        <f>'4-AdditionalInputs'!L35</f>
        <v/>
      </c>
      <c r="L16" s="186">
        <f>'4-AdditionalInputs'!M35</f>
        <v/>
      </c>
      <c r="M16" s="186">
        <f>'4-AdditionalInputs'!N35</f>
        <v/>
      </c>
      <c r="N16" s="186">
        <f>'4-AdditionalInputs'!O35</f>
        <v/>
      </c>
      <c r="O16" s="86">
        <f>SUM(C16:N16)</f>
        <v/>
      </c>
    </row>
    <row r="17">
      <c r="B17" s="187" t="inlineStr">
        <is>
          <t>Additional Inventory</t>
        </is>
      </c>
      <c r="C17" s="154" t="n"/>
      <c r="D17" s="154" t="n"/>
      <c r="E17" s="154" t="n"/>
      <c r="F17" s="154" t="n"/>
      <c r="G17" s="154" t="n"/>
      <c r="H17" s="154" t="n"/>
      <c r="I17" s="154" t="n"/>
      <c r="J17" s="154" t="n"/>
      <c r="K17" s="154" t="n"/>
      <c r="L17" s="154" t="n"/>
      <c r="M17" s="154" t="n"/>
      <c r="N17" s="154" t="n"/>
      <c r="O17" s="86">
        <f>SUM(C17:N17)</f>
        <v/>
      </c>
    </row>
    <row r="18">
      <c r="B18" s="187" t="inlineStr">
        <is>
          <t>Cost of Goods Sold</t>
        </is>
      </c>
      <c r="C18" s="186">
        <f>'3a-SalesForecastYear1'!C54*'4-AdditionalInputs'!$C$17</f>
        <v/>
      </c>
      <c r="D18" s="186">
        <f>('3a-SalesForecastYear1'!D54*'4-AdditionalInputs'!$C$17)+('3a-SalesForecastYear1'!C54*'4-AdditionalInputs'!$C$18)</f>
        <v/>
      </c>
      <c r="E18" s="186">
        <f>('3a-SalesForecastYear1'!E54*'4-AdditionalInputs'!$C$17)+('3a-SalesForecastYear1'!D54*'4-AdditionalInputs'!$C$18)+('3a-SalesForecastYear1'!C54*'4-AdditionalInputs'!$C$19)</f>
        <v/>
      </c>
      <c r="F18" s="186">
        <f>('3a-SalesForecastYear1'!F54*'4-AdditionalInputs'!$C$17)+('3a-SalesForecastYear1'!E54*'4-AdditionalInputs'!$C$18)+('3a-SalesForecastYear1'!D54*'4-AdditionalInputs'!$C$19)</f>
        <v/>
      </c>
      <c r="G18" s="186">
        <f>('3a-SalesForecastYear1'!G54*'4-AdditionalInputs'!$C$17)+('3a-SalesForecastYear1'!F54*'4-AdditionalInputs'!$C$18)+('3a-SalesForecastYear1'!E54*'4-AdditionalInputs'!$C$19)</f>
        <v/>
      </c>
      <c r="H18" s="186">
        <f>('3a-SalesForecastYear1'!H54*'4-AdditionalInputs'!$C$17)+('3a-SalesForecastYear1'!G54*'4-AdditionalInputs'!$C$18)+('3a-SalesForecastYear1'!F54*'4-AdditionalInputs'!$C$19)</f>
        <v/>
      </c>
      <c r="I18" s="186">
        <f>('3a-SalesForecastYear1'!I54*'4-AdditionalInputs'!$C$17)+('3a-SalesForecastYear1'!H54*'4-AdditionalInputs'!$C$18)+('3a-SalesForecastYear1'!G54*'4-AdditionalInputs'!$C$19)</f>
        <v/>
      </c>
      <c r="J18" s="186">
        <f>('3a-SalesForecastYear1'!J54*'4-AdditionalInputs'!$C$17)+('3a-SalesForecastYear1'!I54*'4-AdditionalInputs'!$C$18)+('3a-SalesForecastYear1'!H54*'4-AdditionalInputs'!$C$19)</f>
        <v/>
      </c>
      <c r="K18" s="186">
        <f>('3a-SalesForecastYear1'!K54*'4-AdditionalInputs'!$C$17)+('3a-SalesForecastYear1'!J54*'4-AdditionalInputs'!$C$18)+('3a-SalesForecastYear1'!I54*'4-AdditionalInputs'!$C$19)</f>
        <v/>
      </c>
      <c r="L18" s="186">
        <f>('3a-SalesForecastYear1'!L54*'4-AdditionalInputs'!$C$17)+('3a-SalesForecastYear1'!K54*'4-AdditionalInputs'!$C$18)+('3a-SalesForecastYear1'!J54*'4-AdditionalInputs'!$C$19)</f>
        <v/>
      </c>
      <c r="M18" s="186">
        <f>('3a-SalesForecastYear1'!M54*'4-AdditionalInputs'!$C$17)+('3a-SalesForecastYear1'!L54*'4-AdditionalInputs'!$C$18)+('3a-SalesForecastYear1'!K54*'4-AdditionalInputs'!$C$19)</f>
        <v/>
      </c>
      <c r="N18" s="186">
        <f>('3a-SalesForecastYear1'!N54*'4-AdditionalInputs'!$C$17)+('3a-SalesForecastYear1'!M54*'4-AdditionalInputs'!$C$18)+('3a-SalesForecastYear1'!L54*'4-AdditionalInputs'!$C$19)</f>
        <v/>
      </c>
      <c r="O18" s="86">
        <f>SUM(C18:N18)</f>
        <v/>
      </c>
    </row>
    <row r="19">
      <c r="B19" s="184" t="inlineStr">
        <is>
          <t>Operating Activities</t>
        </is>
      </c>
      <c r="C19" s="186" t="n"/>
      <c r="D19" s="186" t="n"/>
      <c r="E19" s="186" t="n"/>
      <c r="F19" s="186" t="n"/>
      <c r="G19" s="186" t="n"/>
      <c r="H19" s="186" t="n"/>
      <c r="I19" s="186" t="n"/>
      <c r="J19" s="186" t="n"/>
      <c r="K19" s="186" t="n"/>
      <c r="L19" s="186" t="n"/>
      <c r="M19" s="186" t="n"/>
      <c r="N19" s="186" t="n"/>
      <c r="O19" s="86" t="n"/>
    </row>
    <row r="20">
      <c r="B20" s="187" t="inlineStr">
        <is>
          <t>Operating Expenses</t>
        </is>
      </c>
      <c r="C20" s="186">
        <f>'5a-OpExYear1'!C25</f>
        <v/>
      </c>
      <c r="D20" s="186">
        <f>'5a-OpExYear1'!D25</f>
        <v/>
      </c>
      <c r="E20" s="186">
        <f>'5a-OpExYear1'!E25</f>
        <v/>
      </c>
      <c r="F20" s="186">
        <f>'5a-OpExYear1'!F25</f>
        <v/>
      </c>
      <c r="G20" s="186">
        <f>'5a-OpExYear1'!G25</f>
        <v/>
      </c>
      <c r="H20" s="186">
        <f>'5a-OpExYear1'!H25</f>
        <v/>
      </c>
      <c r="I20" s="186">
        <f>'5a-OpExYear1'!I25</f>
        <v/>
      </c>
      <c r="J20" s="186">
        <f>'5a-OpExYear1'!J25</f>
        <v/>
      </c>
      <c r="K20" s="186">
        <f>'5a-OpExYear1'!K25</f>
        <v/>
      </c>
      <c r="L20" s="186">
        <f>'5a-OpExYear1'!L25</f>
        <v/>
      </c>
      <c r="M20" s="186">
        <f>'5a-OpExYear1'!M25</f>
        <v/>
      </c>
      <c r="N20" s="186">
        <f>'5a-OpExYear1'!N25</f>
        <v/>
      </c>
      <c r="O20" s="86">
        <f>SUM(C20:N20)</f>
        <v/>
      </c>
    </row>
    <row r="21">
      <c r="B21" s="187" t="inlineStr">
        <is>
          <t>Payroll</t>
        </is>
      </c>
      <c r="C21" s="186">
        <f>'2a-PayrollYear1'!F25</f>
        <v/>
      </c>
      <c r="D21" s="186">
        <f>'2a-PayrollYear1'!G25</f>
        <v/>
      </c>
      <c r="E21" s="186">
        <f>'2a-PayrollYear1'!H25</f>
        <v/>
      </c>
      <c r="F21" s="186">
        <f>'2a-PayrollYear1'!I25</f>
        <v/>
      </c>
      <c r="G21" s="186">
        <f>'2a-PayrollYear1'!J25</f>
        <v/>
      </c>
      <c r="H21" s="186">
        <f>'2a-PayrollYear1'!K25</f>
        <v/>
      </c>
      <c r="I21" s="186">
        <f>'2a-PayrollYear1'!L25</f>
        <v/>
      </c>
      <c r="J21" s="186">
        <f>'2a-PayrollYear1'!M25</f>
        <v/>
      </c>
      <c r="K21" s="186">
        <f>'2a-PayrollYear1'!N25</f>
        <v/>
      </c>
      <c r="L21" s="186">
        <f>'2a-PayrollYear1'!O25</f>
        <v/>
      </c>
      <c r="M21" s="186">
        <f>'2a-PayrollYear1'!P25</f>
        <v/>
      </c>
      <c r="N21" s="186">
        <f>'2a-PayrollYear1'!Q25</f>
        <v/>
      </c>
      <c r="O21" s="86">
        <f>SUM(C21:N21)</f>
        <v/>
      </c>
    </row>
    <row r="22">
      <c r="B22" s="187" t="inlineStr">
        <is>
          <t>Taxes</t>
        </is>
      </c>
      <c r="C22" s="186" t="n">
        <v>0</v>
      </c>
      <c r="D22" s="186" t="n">
        <v>0</v>
      </c>
      <c r="E22" s="186">
        <f>SUM('7a-IncomeStatementYear1'!C59:E59)</f>
        <v/>
      </c>
      <c r="F22" s="186" t="n">
        <v>0</v>
      </c>
      <c r="G22" s="186" t="n">
        <v>0</v>
      </c>
      <c r="H22" s="186">
        <f>SUM('7a-IncomeStatementYear1'!F59:H59)</f>
        <v/>
      </c>
      <c r="I22" s="186" t="n">
        <v>0</v>
      </c>
      <c r="J22" s="186" t="n">
        <v>0</v>
      </c>
      <c r="K22" s="186">
        <f>SUM('7a-IncomeStatementYear1'!I59:K59)</f>
        <v/>
      </c>
      <c r="L22" s="186" t="n">
        <v>0</v>
      </c>
      <c r="M22" s="186" t="n">
        <v>0</v>
      </c>
      <c r="N22" s="186">
        <f>SUM('7a-IncomeStatementYear1'!L59:N59)</f>
        <v/>
      </c>
      <c r="O22" s="86">
        <f>SUM(C22:N22)</f>
        <v/>
      </c>
    </row>
    <row r="23">
      <c r="B23" s="184" t="inlineStr">
        <is>
          <t>Financing Activities</t>
        </is>
      </c>
      <c r="C23" s="186" t="n"/>
      <c r="D23" s="186" t="n"/>
      <c r="E23" s="186" t="n"/>
      <c r="F23" s="186" t="n"/>
      <c r="G23" s="186" t="n"/>
      <c r="H23" s="186" t="n"/>
      <c r="I23" s="186" t="n"/>
      <c r="J23" s="186" t="n"/>
      <c r="K23" s="186" t="n"/>
      <c r="L23" s="186" t="n"/>
      <c r="M23" s="186" t="n"/>
      <c r="N23" s="186" t="n"/>
      <c r="O23" s="86" t="n"/>
    </row>
    <row r="24">
      <c r="B24" s="187" t="inlineStr">
        <is>
          <t>Loan Payments</t>
        </is>
      </c>
      <c r="C24" s="186">
        <f>SUM('Amortization&amp;Depreciation'!C15:C16)+SUM('Amortization&amp;Depreciation'!C35:C36)+SUM('Amortization&amp;Depreciation'!C55:C56)+SUM('Amortization&amp;Depreciation'!C75:C76)+SUM('Amortization&amp;Depreciation'!C95:C96)</f>
        <v/>
      </c>
      <c r="D24" s="186">
        <f>SUM('Amortization&amp;Depreciation'!D15:D16)+SUM('Amortization&amp;Depreciation'!D35:D36)+SUM('Amortization&amp;Depreciation'!D55:D56)+SUM('Amortization&amp;Depreciation'!D75:D76)+SUM('Amortization&amp;Depreciation'!D95:D96)</f>
        <v/>
      </c>
      <c r="E24" s="186">
        <f>SUM('Amortization&amp;Depreciation'!E15:E16)+SUM('Amortization&amp;Depreciation'!E35:E36)+SUM('Amortization&amp;Depreciation'!E55:E56)+SUM('Amortization&amp;Depreciation'!E75:E76)+SUM('Amortization&amp;Depreciation'!E95:E96)</f>
        <v/>
      </c>
      <c r="F24" s="186">
        <f>SUM('Amortization&amp;Depreciation'!F15:F16)+SUM('Amortization&amp;Depreciation'!F35:F36)+SUM('Amortization&amp;Depreciation'!F55:F56)+SUM('Amortization&amp;Depreciation'!F75:F76)+SUM('Amortization&amp;Depreciation'!F95:F96)</f>
        <v/>
      </c>
      <c r="G24" s="186">
        <f>SUM('Amortization&amp;Depreciation'!G15:G16)+SUM('Amortization&amp;Depreciation'!G35:G36)+SUM('Amortization&amp;Depreciation'!G55:G56)+SUM('Amortization&amp;Depreciation'!G75:G76)+SUM('Amortization&amp;Depreciation'!G95:G96)</f>
        <v/>
      </c>
      <c r="H24" s="186">
        <f>SUM('Amortization&amp;Depreciation'!H15:H16)+SUM('Amortization&amp;Depreciation'!H35:H36)+SUM('Amortization&amp;Depreciation'!H55:H56)+SUM('Amortization&amp;Depreciation'!H75:H76)+SUM('Amortization&amp;Depreciation'!H95:H96)</f>
        <v/>
      </c>
      <c r="I24" s="186">
        <f>SUM('Amortization&amp;Depreciation'!I15:I16)+SUM('Amortization&amp;Depreciation'!I35:I36)+SUM('Amortization&amp;Depreciation'!I55:I56)+SUM('Amortization&amp;Depreciation'!I75:I76)+SUM('Amortization&amp;Depreciation'!I95:I96)</f>
        <v/>
      </c>
      <c r="J24" s="186">
        <f>SUM('Amortization&amp;Depreciation'!J15:J16)+SUM('Amortization&amp;Depreciation'!J35:J36)+SUM('Amortization&amp;Depreciation'!J55:J56)+SUM('Amortization&amp;Depreciation'!J75:J76)+SUM('Amortization&amp;Depreciation'!J95:J96)</f>
        <v/>
      </c>
      <c r="K24" s="186">
        <f>SUM('Amortization&amp;Depreciation'!K15:K16)+SUM('Amortization&amp;Depreciation'!K35:K36)+SUM('Amortization&amp;Depreciation'!K55:K56)+SUM('Amortization&amp;Depreciation'!K75:K76)+SUM('Amortization&amp;Depreciation'!K95:K96)</f>
        <v/>
      </c>
      <c r="L24" s="186">
        <f>SUM('Amortization&amp;Depreciation'!L15:L16)+SUM('Amortization&amp;Depreciation'!L35:L36)+SUM('Amortization&amp;Depreciation'!L55:L56)+SUM('Amortization&amp;Depreciation'!L75:L76)+SUM('Amortization&amp;Depreciation'!L95:L96)</f>
        <v/>
      </c>
      <c r="M24" s="186">
        <f>SUM('Amortization&amp;Depreciation'!M15:M16)+SUM('Amortization&amp;Depreciation'!M35:M36)+SUM('Amortization&amp;Depreciation'!M55:M56)+SUM('Amortization&amp;Depreciation'!M75:M76)+SUM('Amortization&amp;Depreciation'!M95:M96)</f>
        <v/>
      </c>
      <c r="N24" s="186">
        <f>SUM('Amortization&amp;Depreciation'!N15:N16)+SUM('Amortization&amp;Depreciation'!N35:N36)+SUM('Amortization&amp;Depreciation'!N55:N56)+SUM('Amortization&amp;Depreciation'!N75:N76)+SUM('Amortization&amp;Depreciation'!N95:N96)</f>
        <v/>
      </c>
      <c r="O24" s="86">
        <f>SUM(C24:N24)</f>
        <v/>
      </c>
    </row>
    <row r="25">
      <c r="B25" s="187" t="inlineStr">
        <is>
          <t>Owners Distribution</t>
        </is>
      </c>
      <c r="C25" s="154" t="n"/>
      <c r="D25" s="154" t="n"/>
      <c r="E25" s="154" t="n"/>
      <c r="F25" s="154" t="n"/>
      <c r="G25" s="154" t="n"/>
      <c r="H25" s="154" t="n"/>
      <c r="I25" s="154" t="n"/>
      <c r="J25" s="154" t="n"/>
      <c r="K25" s="154" t="n"/>
      <c r="L25" s="154" t="n"/>
      <c r="M25" s="154" t="n"/>
      <c r="N25" s="154" t="n"/>
      <c r="O25" s="86">
        <f>SUM(C25:N25)</f>
        <v/>
      </c>
    </row>
    <row r="26">
      <c r="B26" s="187" t="inlineStr">
        <is>
          <t>Line of Credit Interest</t>
        </is>
      </c>
      <c r="C26" s="186" t="n"/>
      <c r="D26" s="186">
        <f>C34*'4-AdditionalInputs'!$D$25/12</f>
        <v/>
      </c>
      <c r="E26" s="186">
        <f>D34*'4-AdditionalInputs'!$D$25/12</f>
        <v/>
      </c>
      <c r="F26" s="186">
        <f>E34*'4-AdditionalInputs'!$D$25/12</f>
        <v/>
      </c>
      <c r="G26" s="186">
        <f>F34*'4-AdditionalInputs'!$D$25/12</f>
        <v/>
      </c>
      <c r="H26" s="186">
        <f>G34*'4-AdditionalInputs'!$D$25/12</f>
        <v/>
      </c>
      <c r="I26" s="186">
        <f>H34*'4-AdditionalInputs'!$D$25/12</f>
        <v/>
      </c>
      <c r="J26" s="186">
        <f>I34*'4-AdditionalInputs'!$D$25/12</f>
        <v/>
      </c>
      <c r="K26" s="186">
        <f>J34*'4-AdditionalInputs'!$D$25/12</f>
        <v/>
      </c>
      <c r="L26" s="186">
        <f>K34*'4-AdditionalInputs'!$D$25/12</f>
        <v/>
      </c>
      <c r="M26" s="186">
        <f>L34*'4-AdditionalInputs'!$D$25/12</f>
        <v/>
      </c>
      <c r="N26" s="186">
        <f>M34*'4-AdditionalInputs'!$D$25/12</f>
        <v/>
      </c>
      <c r="O26" s="86">
        <f>SUM(C26:N26)</f>
        <v/>
      </c>
    </row>
    <row r="27">
      <c r="B27" s="187" t="inlineStr">
        <is>
          <t>Line of Credit Repayments</t>
        </is>
      </c>
      <c r="C27" s="154" t="n"/>
      <c r="D27" s="154" t="n"/>
      <c r="E27" s="154" t="n"/>
      <c r="F27" s="154" t="n"/>
      <c r="G27" s="154" t="n"/>
      <c r="H27" s="154" t="n"/>
      <c r="I27" s="154" t="n"/>
      <c r="J27" s="154" t="n"/>
      <c r="K27" s="154" t="n"/>
      <c r="L27" s="154" t="n"/>
      <c r="M27" s="154" t="n"/>
      <c r="N27" s="154" t="n"/>
      <c r="O27" s="86">
        <f>SUM(C27:N27)</f>
        <v/>
      </c>
    </row>
    <row r="28">
      <c r="B28" s="187" t="inlineStr">
        <is>
          <t>Dividends Paid</t>
        </is>
      </c>
      <c r="C28" s="154" t="n"/>
      <c r="D28" s="154" t="n"/>
      <c r="E28" s="154" t="n"/>
      <c r="F28" s="154" t="n"/>
      <c r="G28" s="154" t="n"/>
      <c r="H28" s="154" t="n"/>
      <c r="I28" s="154" t="n"/>
      <c r="J28" s="154" t="n"/>
      <c r="K28" s="154" t="n"/>
      <c r="L28" s="154" t="n"/>
      <c r="M28" s="154" t="n"/>
      <c r="N28" s="154" t="n"/>
      <c r="O28" s="86">
        <f>SUM(C28:N28)</f>
        <v/>
      </c>
    </row>
    <row r="29">
      <c r="B29" s="188" t="inlineStr">
        <is>
          <t>Total Cash Outflows</t>
        </is>
      </c>
      <c r="C29" s="189">
        <f>SUM(C16:C28)</f>
        <v/>
      </c>
      <c r="D29" s="189">
        <f>SUM(D16:D28)</f>
        <v/>
      </c>
      <c r="E29" s="189">
        <f>SUM(E16:E28)</f>
        <v/>
      </c>
      <c r="F29" s="189">
        <f>SUM(F16:F28)</f>
        <v/>
      </c>
      <c r="G29" s="189">
        <f>SUM(G16:G28)</f>
        <v/>
      </c>
      <c r="H29" s="189">
        <f>SUM(H16:H28)</f>
        <v/>
      </c>
      <c r="I29" s="189">
        <f>SUM(I16:I28)</f>
        <v/>
      </c>
      <c r="J29" s="189">
        <f>SUM(J16:J28)</f>
        <v/>
      </c>
      <c r="K29" s="189">
        <f>SUM(K16:K28)</f>
        <v/>
      </c>
      <c r="L29" s="189">
        <f>SUM(L16:L28)</f>
        <v/>
      </c>
      <c r="M29" s="189">
        <f>SUM(M16:M28)</f>
        <v/>
      </c>
      <c r="N29" s="189">
        <f>SUM(N16:N28)</f>
        <v/>
      </c>
      <c r="O29" s="86">
        <f>SUM(C29:N29)</f>
        <v/>
      </c>
    </row>
    <row r="30">
      <c r="B30" s="47" t="inlineStr">
        <is>
          <t>Net Cash Flows</t>
        </is>
      </c>
      <c r="C30" s="86">
        <f>C12-C29</f>
        <v/>
      </c>
      <c r="D30" s="86">
        <f>D12-D29</f>
        <v/>
      </c>
      <c r="E30" s="86">
        <f>E12-E29</f>
        <v/>
      </c>
      <c r="F30" s="86">
        <f>F12-F29</f>
        <v/>
      </c>
      <c r="G30" s="86">
        <f>G12-G29</f>
        <v/>
      </c>
      <c r="H30" s="86">
        <f>H12-H29</f>
        <v/>
      </c>
      <c r="I30" s="86">
        <f>I12-I29</f>
        <v/>
      </c>
      <c r="J30" s="86">
        <f>J12-J29</f>
        <v/>
      </c>
      <c r="K30" s="86">
        <f>K12-K29</f>
        <v/>
      </c>
      <c r="L30" s="86">
        <f>L12-L29</f>
        <v/>
      </c>
      <c r="M30" s="86">
        <f>M12-M29</f>
        <v/>
      </c>
      <c r="N30" s="86">
        <f>N12-N29</f>
        <v/>
      </c>
      <c r="O30" s="86">
        <f>SUM(C30:N30)</f>
        <v/>
      </c>
    </row>
    <row r="31">
      <c r="B31" s="47" t="inlineStr">
        <is>
          <t>Operating Cash Balance</t>
        </is>
      </c>
      <c r="C31" s="86">
        <f>C8+C30</f>
        <v/>
      </c>
      <c r="D31" s="86">
        <f>D8+D30</f>
        <v/>
      </c>
      <c r="E31" s="86">
        <f>E8+E30</f>
        <v/>
      </c>
      <c r="F31" s="86">
        <f>F8+F30</f>
        <v/>
      </c>
      <c r="G31" s="86">
        <f>G8+G30</f>
        <v/>
      </c>
      <c r="H31" s="86">
        <f>H8+H30</f>
        <v/>
      </c>
      <c r="I31" s="86">
        <f>I8+I30</f>
        <v/>
      </c>
      <c r="J31" s="86">
        <f>J8+J30</f>
        <v/>
      </c>
      <c r="K31" s="86">
        <f>K8+K30</f>
        <v/>
      </c>
      <c r="L31" s="86">
        <f>L8+L30</f>
        <v/>
      </c>
      <c r="M31" s="86">
        <f>M8+M30</f>
        <v/>
      </c>
      <c r="N31" s="86">
        <f>N8+N30</f>
        <v/>
      </c>
      <c r="O31" s="86" t="n"/>
    </row>
    <row r="32">
      <c r="B32" s="47" t="inlineStr">
        <is>
          <t>Line of Credit Drawdown</t>
        </is>
      </c>
      <c r="C32" s="86">
        <f>IF(C31&lt;'4-AdditionalInputs'!$D$24, '4-AdditionalInputs'!$D$24-C31, 0)</f>
        <v/>
      </c>
      <c r="D32" s="86">
        <f>IF(D31&lt;'4-AdditionalInputs'!$D$24, '4-AdditionalInputs'!$D$24-D31, 0)</f>
        <v/>
      </c>
      <c r="E32" s="86">
        <f>IF(E31&lt;'4-AdditionalInputs'!$D$24, '4-AdditionalInputs'!$D$24-E31, 0)</f>
        <v/>
      </c>
      <c r="F32" s="86">
        <f>IF(F31&lt;'4-AdditionalInputs'!$D$24, '4-AdditionalInputs'!$D$24-F31, 0)</f>
        <v/>
      </c>
      <c r="G32" s="86">
        <f>IF(G31&lt;'4-AdditionalInputs'!$D$24, '4-AdditionalInputs'!$D$24-G31, 0)</f>
        <v/>
      </c>
      <c r="H32" s="86">
        <f>IF(H31&lt;'4-AdditionalInputs'!$D$24, '4-AdditionalInputs'!$D$24-H31, 0)</f>
        <v/>
      </c>
      <c r="I32" s="86">
        <f>IF(I31&lt;'4-AdditionalInputs'!$D$24, '4-AdditionalInputs'!$D$24-I31, 0)</f>
        <v/>
      </c>
      <c r="J32" s="86">
        <f>IF(J31&lt;'4-AdditionalInputs'!$D$24, '4-AdditionalInputs'!$D$24-J31, 0)</f>
        <v/>
      </c>
      <c r="K32" s="86">
        <f>IF(K31&lt;'4-AdditionalInputs'!$D$24, '4-AdditionalInputs'!$D$24-K31, 0)</f>
        <v/>
      </c>
      <c r="L32" s="86">
        <f>IF(L31&lt;'4-AdditionalInputs'!$D$24, '4-AdditionalInputs'!$D$24-L31, 0)</f>
        <v/>
      </c>
      <c r="M32" s="86">
        <f>IF(M31&lt;'4-AdditionalInputs'!$D$24, '4-AdditionalInputs'!$D$24-M31, 0)</f>
        <v/>
      </c>
      <c r="N32" s="86">
        <f>IF(N31&lt;'4-AdditionalInputs'!$D$24, '4-AdditionalInputs'!$D$24-N31, 0)</f>
        <v/>
      </c>
      <c r="O32" s="86">
        <f>SUM(C32:N32)</f>
        <v/>
      </c>
    </row>
    <row r="33">
      <c r="B33" s="47" t="inlineStr">
        <is>
          <t>Ending Cash Balance</t>
        </is>
      </c>
      <c r="C33" s="86">
        <f>SUM(C31+C32)</f>
        <v/>
      </c>
      <c r="D33" s="86">
        <f>SUM(D31+D32)</f>
        <v/>
      </c>
      <c r="E33" s="86">
        <f>SUM(E31+E32)</f>
        <v/>
      </c>
      <c r="F33" s="86">
        <f>SUM(F31+F32)</f>
        <v/>
      </c>
      <c r="G33" s="86">
        <f>SUM(G31+G32)</f>
        <v/>
      </c>
      <c r="H33" s="86">
        <f>SUM(H31+H32)</f>
        <v/>
      </c>
      <c r="I33" s="86">
        <f>SUM(I31+I32)</f>
        <v/>
      </c>
      <c r="J33" s="86">
        <f>SUM(J31+J32)</f>
        <v/>
      </c>
      <c r="K33" s="86">
        <f>SUM(K31+K32)</f>
        <v/>
      </c>
      <c r="L33" s="86">
        <f>SUM(L31+L32)</f>
        <v/>
      </c>
      <c r="M33" s="86">
        <f>SUM(M31+M32)</f>
        <v/>
      </c>
      <c r="N33" s="86">
        <f>SUM(N31+N32)</f>
        <v/>
      </c>
      <c r="O33" s="86" t="n"/>
    </row>
    <row r="34">
      <c r="B34" s="26" t="inlineStr">
        <is>
          <t>Line of Credit Balance</t>
        </is>
      </c>
      <c r="C34" s="36">
        <f>C32-C27</f>
        <v/>
      </c>
      <c r="D34" s="36">
        <f>D32+C34-D27</f>
        <v/>
      </c>
      <c r="E34" s="36">
        <f>E32+D34-E27</f>
        <v/>
      </c>
      <c r="F34" s="36">
        <f>F32+E34-F27</f>
        <v/>
      </c>
      <c r="G34" s="36">
        <f>G32+F34-G27</f>
        <v/>
      </c>
      <c r="H34" s="36">
        <f>H32+G34-H27</f>
        <v/>
      </c>
      <c r="I34" s="36">
        <f>I32+H34-I27</f>
        <v/>
      </c>
      <c r="J34" s="36">
        <f>J32+I34-J27</f>
        <v/>
      </c>
      <c r="K34" s="36">
        <f>K32+J34-K27</f>
        <v/>
      </c>
      <c r="L34" s="36">
        <f>L32+K34-L27</f>
        <v/>
      </c>
      <c r="M34" s="36">
        <f>M32+L34-M27</f>
        <v/>
      </c>
      <c r="N34" s="36">
        <f>N32+M34-N27</f>
        <v/>
      </c>
      <c r="O34" s="86" t="n"/>
    </row>
  </sheetData>
  <sheetProtection selectLockedCells="0" selectUnlockedCells="0" sheet="1" objects="1" insertRows="1" insertHyperlinks="1" autoFilter="1" scenarios="1" formatColumns="0" deleteColumns="1" insertColumns="1" pivotTables="1" deleteRows="1" formatCells="1" formatRows="0" sort="1" password="CC3D"/>
  <mergeCells count="1">
    <mergeCell ref="B2:C2"/>
  </mergeCells>
  <conditionalFormatting sqref="C25:N25 C27:N28">
    <cfRule type="containsBlanks" priority="27" dxfId="0" stopIfTrue="1">
      <formula>LEN(TRIM(C25))=0</formula>
    </cfRule>
  </conditionalFormatting>
  <conditionalFormatting sqref="C29:O29">
    <cfRule type="expression" priority="13" dxfId="36" stopIfTrue="1">
      <formula>ISERROR(C29)</formula>
    </cfRule>
  </conditionalFormatting>
  <conditionalFormatting sqref="C24:O24 C30:N31 D8:N8 D31:N32">
    <cfRule type="expression" priority="12" dxfId="27" stopIfTrue="1">
      <formula>ISERROR(C8)</formula>
    </cfRule>
  </conditionalFormatting>
  <conditionalFormatting sqref="C33:N33">
    <cfRule type="expression" priority="10" dxfId="27" stopIfTrue="1">
      <formula>ISERROR(C33)</formula>
    </cfRule>
  </conditionalFormatting>
  <conditionalFormatting sqref="O30:O34">
    <cfRule type="expression" priority="8" dxfId="27" stopIfTrue="1">
      <formula>ISERROR(O30)</formula>
    </cfRule>
  </conditionalFormatting>
  <conditionalFormatting sqref="C32:N32">
    <cfRule type="containsBlanks" priority="4" dxfId="17">
      <formula>LEN(TRIM(C32))=0</formula>
    </cfRule>
  </conditionalFormatting>
  <conditionalFormatting sqref="C17:N17">
    <cfRule type="containsBlanks" priority="26" dxfId="0" stopIfTrue="1">
      <formula>LEN(TRIM(C17))=0</formula>
    </cfRule>
  </conditionalFormatting>
  <pageMargins left="0.25" right="0.25" top="0.75" bottom="0.75" header="0.3" footer="0.3"/>
  <pageSetup orientation="landscape" scale="85"/>
  <headerFooter scaleWithDoc="0">
    <oddHeader>&amp;C&amp;"Gill Sans MT,Regular"&amp;12 Cash Flow Forecast Year 1</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eet7">
    <tabColor rgb="FFFFC95B"/>
    <outlinePr summaryBelow="1" summaryRight="1"/>
    <pageSetUpPr autoPageBreaks="0"/>
  </sheetPr>
  <dimension ref="A1:AB33"/>
  <sheetViews>
    <sheetView zoomScaleNormal="100" zoomScalePageLayoutView="80" workbookViewId="0">
      <selection activeCell="C16" sqref="C16"/>
    </sheetView>
  </sheetViews>
  <sheetFormatPr baseColWidth="8" defaultColWidth="8.83984375" defaultRowHeight="13.5"/>
  <cols>
    <col width="29.26171875" customWidth="1" style="46" min="1" max="1"/>
    <col width="13.83984375" customWidth="1" style="46" min="2" max="2"/>
    <col width="9.68359375" customWidth="1" style="46" min="3" max="10"/>
    <col width="10.41796875" customWidth="1" style="46" min="11" max="11"/>
    <col width="9.68359375" customWidth="1" style="46" min="12" max="14"/>
    <col width="12.41796875" bestFit="1" customWidth="1" style="46" min="15" max="15"/>
    <col width="9.68359375" customWidth="1" style="46" min="16" max="27"/>
    <col width="15.83984375" bestFit="1" customWidth="1" style="46" min="28" max="28"/>
    <col width="8.83984375" customWidth="1" style="46" min="29" max="29"/>
    <col width="8.83984375" customWidth="1" style="46" min="30" max="16384"/>
  </cols>
  <sheetData>
    <row r="1">
      <c r="B1" s="192" t="inlineStr">
        <is>
          <t>Cash Flow Forecast Years 1-3</t>
        </is>
      </c>
      <c r="C1" s="182" t="n"/>
      <c r="E1" s="182" t="n"/>
      <c r="F1" s="182" t="n"/>
      <c r="G1" s="182" t="n"/>
      <c r="H1" s="182" t="n"/>
      <c r="P1" s="183" t="n"/>
      <c r="Q1" s="183" t="n"/>
    </row>
    <row r="2">
      <c r="H2" s="148" t="n"/>
    </row>
    <row r="3" ht="19.5" customHeight="1">
      <c r="B3" s="75" t="inlineStr">
        <is>
          <t>Prepared By:</t>
        </is>
      </c>
      <c r="C3" s="75" t="inlineStr">
        <is>
          <t>Company Name:</t>
        </is>
      </c>
      <c r="H3" s="148" t="n"/>
    </row>
    <row r="4" ht="19.5" customHeight="1">
      <c r="B4" s="46">
        <f>IF(ISBLANK(Directions!C10), "Owner", Directions!C10)</f>
        <v/>
      </c>
      <c r="C4" s="46">
        <f>IF(ISBLANK(Directions!D10), "Company 1", Directions!D10)</f>
        <v/>
      </c>
      <c r="H4" s="148" t="n"/>
    </row>
    <row r="6" ht="13.8" customHeight="1" thickBot="1">
      <c r="A6" s="506" t="n"/>
      <c r="B6" s="506" t="inlineStr">
        <is>
          <t>Year 1 Totals</t>
        </is>
      </c>
      <c r="C6" s="506">
        <f>'3a-SalesForecastYear1'!C16</f>
        <v/>
      </c>
      <c r="D6" s="506">
        <f>'3a-SalesForecastYear1'!D16</f>
        <v/>
      </c>
      <c r="E6" s="506">
        <f>'3a-SalesForecastYear1'!E16</f>
        <v/>
      </c>
      <c r="F6" s="506">
        <f>'3a-SalesForecastYear1'!F16</f>
        <v/>
      </c>
      <c r="G6" s="506">
        <f>'3a-SalesForecastYear1'!G16</f>
        <v/>
      </c>
      <c r="H6" s="506">
        <f>'3a-SalesForecastYear1'!H16</f>
        <v/>
      </c>
      <c r="I6" s="506">
        <f>'3a-SalesForecastYear1'!I16</f>
        <v/>
      </c>
      <c r="J6" s="506">
        <f>'3a-SalesForecastYear1'!J16</f>
        <v/>
      </c>
      <c r="K6" s="506">
        <f>'3a-SalesForecastYear1'!K16</f>
        <v/>
      </c>
      <c r="L6" s="506">
        <f>'3a-SalesForecastYear1'!L16</f>
        <v/>
      </c>
      <c r="M6" s="506">
        <f>'3a-SalesForecastYear1'!M16</f>
        <v/>
      </c>
      <c r="N6" s="506">
        <f>'3a-SalesForecastYear1'!N16</f>
        <v/>
      </c>
      <c r="O6" s="506" t="inlineStr">
        <is>
          <t>Year 2 Totals</t>
        </is>
      </c>
      <c r="P6" s="506">
        <f>C6</f>
        <v/>
      </c>
      <c r="Q6" s="506">
        <f>D6</f>
        <v/>
      </c>
      <c r="R6" s="506">
        <f>E6</f>
        <v/>
      </c>
      <c r="S6" s="506">
        <f>F6</f>
        <v/>
      </c>
      <c r="T6" s="506">
        <f>G6</f>
        <v/>
      </c>
      <c r="U6" s="506">
        <f>H6</f>
        <v/>
      </c>
      <c r="V6" s="506">
        <f>I6</f>
        <v/>
      </c>
      <c r="W6" s="506">
        <f>J6</f>
        <v/>
      </c>
      <c r="X6" s="506">
        <f>K6</f>
        <v/>
      </c>
      <c r="Y6" s="506">
        <f>L6</f>
        <v/>
      </c>
      <c r="Z6" s="506">
        <f>M6</f>
        <v/>
      </c>
      <c r="AA6" s="506">
        <f>N6</f>
        <v/>
      </c>
      <c r="AB6" s="506" t="inlineStr">
        <is>
          <t>Year 3 Totals</t>
        </is>
      </c>
    </row>
    <row r="7" ht="13.8" customHeight="1" thickTop="1">
      <c r="A7" s="349" t="inlineStr">
        <is>
          <t>Beginning Balance</t>
        </is>
      </c>
      <c r="B7" s="349" t="n"/>
      <c r="C7" s="350">
        <f>Y1EndingCashBal</f>
        <v/>
      </c>
      <c r="D7" s="350">
        <f>C32</f>
        <v/>
      </c>
      <c r="E7" s="350">
        <f>D32</f>
        <v/>
      </c>
      <c r="F7" s="350">
        <f>E32</f>
        <v/>
      </c>
      <c r="G7" s="350">
        <f>F32</f>
        <v/>
      </c>
      <c r="H7" s="350">
        <f>G32</f>
        <v/>
      </c>
      <c r="I7" s="350">
        <f>H32</f>
        <v/>
      </c>
      <c r="J7" s="350">
        <f>I32</f>
        <v/>
      </c>
      <c r="K7" s="350">
        <f>J32</f>
        <v/>
      </c>
      <c r="L7" s="350">
        <f>K32</f>
        <v/>
      </c>
      <c r="M7" s="350">
        <f>L32</f>
        <v/>
      </c>
      <c r="N7" s="350">
        <f>M32</f>
        <v/>
      </c>
      <c r="O7" s="352" t="n"/>
      <c r="P7" s="350">
        <f>N32</f>
        <v/>
      </c>
      <c r="Q7" s="350">
        <f>P32</f>
        <v/>
      </c>
      <c r="R7" s="350">
        <f>Q32</f>
        <v/>
      </c>
      <c r="S7" s="350">
        <f>R32</f>
        <v/>
      </c>
      <c r="T7" s="350">
        <f>S32</f>
        <v/>
      </c>
      <c r="U7" s="350">
        <f>T32</f>
        <v/>
      </c>
      <c r="V7" s="350">
        <f>U32</f>
        <v/>
      </c>
      <c r="W7" s="350">
        <f>V32</f>
        <v/>
      </c>
      <c r="X7" s="350">
        <f>W32</f>
        <v/>
      </c>
      <c r="Y7" s="350">
        <f>X32</f>
        <v/>
      </c>
      <c r="Z7" s="350">
        <f>Y32</f>
        <v/>
      </c>
      <c r="AA7" s="350">
        <f>Z32</f>
        <v/>
      </c>
      <c r="AB7" s="352" t="n"/>
    </row>
    <row r="8">
      <c r="A8" s="47" t="inlineStr">
        <is>
          <t>Cash Inflows</t>
        </is>
      </c>
      <c r="B8" s="47" t="n"/>
      <c r="C8" s="49" t="n"/>
      <c r="D8" s="49" t="n"/>
      <c r="E8" s="49" t="n"/>
      <c r="F8" s="49" t="n"/>
      <c r="G8" s="49" t="n"/>
      <c r="H8" s="49" t="n"/>
      <c r="I8" s="49" t="n"/>
      <c r="J8" s="49" t="n"/>
      <c r="K8" s="49" t="n"/>
      <c r="L8" s="49" t="n"/>
      <c r="M8" s="49" t="n"/>
      <c r="N8" s="49" t="n"/>
      <c r="O8" s="24" t="n"/>
      <c r="P8" s="49" t="n"/>
      <c r="Q8" s="49" t="n"/>
      <c r="R8" s="49" t="n"/>
      <c r="S8" s="49" t="n"/>
      <c r="T8" s="49" t="n"/>
      <c r="U8" s="49" t="n"/>
      <c r="V8" s="49" t="n"/>
      <c r="W8" s="49" t="n"/>
      <c r="X8" s="49" t="n"/>
      <c r="Y8" s="49" t="n"/>
      <c r="Z8" s="49" t="n"/>
      <c r="AA8" s="49" t="n"/>
      <c r="AB8" s="24" t="n"/>
    </row>
    <row r="9">
      <c r="A9" s="184" t="inlineStr">
        <is>
          <t>Cash Sales</t>
        </is>
      </c>
      <c r="B9" s="193">
        <f>'6a-CashFlowYear1'!O10</f>
        <v/>
      </c>
      <c r="C9" s="186">
        <f>('3b-SalesForecastYrs1-3'!C47*'4-AdditionalInputs'!$D$9)</f>
        <v/>
      </c>
      <c r="D9" s="186">
        <f>('3b-SalesForecastYrs1-3'!D47*'4-AdditionalInputs'!$D$9)</f>
        <v/>
      </c>
      <c r="E9" s="186">
        <f>('3b-SalesForecastYrs1-3'!E47*'4-AdditionalInputs'!$D$9)</f>
        <v/>
      </c>
      <c r="F9" s="186">
        <f>('3b-SalesForecastYrs1-3'!F47*'4-AdditionalInputs'!$D$9)</f>
        <v/>
      </c>
      <c r="G9" s="186">
        <f>('3b-SalesForecastYrs1-3'!G47*'4-AdditionalInputs'!$D$9)</f>
        <v/>
      </c>
      <c r="H9" s="186">
        <f>('3b-SalesForecastYrs1-3'!H47*'4-AdditionalInputs'!$D$9)</f>
        <v/>
      </c>
      <c r="I9" s="186">
        <f>('3b-SalesForecastYrs1-3'!I47*'4-AdditionalInputs'!$D$9)</f>
        <v/>
      </c>
      <c r="J9" s="186">
        <f>('3b-SalesForecastYrs1-3'!J47*'4-AdditionalInputs'!$D$9)</f>
        <v/>
      </c>
      <c r="K9" s="186">
        <f>('3b-SalesForecastYrs1-3'!K47*'4-AdditionalInputs'!$D$9)</f>
        <v/>
      </c>
      <c r="L9" s="186">
        <f>('3b-SalesForecastYrs1-3'!L47*'4-AdditionalInputs'!$D$9)</f>
        <v/>
      </c>
      <c r="M9" s="186">
        <f>('3b-SalesForecastYrs1-3'!M47*'4-AdditionalInputs'!$D$9)</f>
        <v/>
      </c>
      <c r="N9" s="186">
        <f>('3b-SalesForecastYrs1-3'!N47*'4-AdditionalInputs'!$D$9)</f>
        <v/>
      </c>
      <c r="O9" s="191">
        <f>SUM(C9:N9)</f>
        <v/>
      </c>
      <c r="P9" s="186">
        <f>('3b-SalesForecastYrs1-3'!R47*'4-AdditionalInputs'!$E$9)</f>
        <v/>
      </c>
      <c r="Q9" s="186">
        <f>('3b-SalesForecastYrs1-3'!S47*'4-AdditionalInputs'!$E$9)</f>
        <v/>
      </c>
      <c r="R9" s="186">
        <f>('3b-SalesForecastYrs1-3'!T47*'4-AdditionalInputs'!$E$9)</f>
        <v/>
      </c>
      <c r="S9" s="186">
        <f>('3b-SalesForecastYrs1-3'!U47*'4-AdditionalInputs'!$E$9)</f>
        <v/>
      </c>
      <c r="T9" s="186">
        <f>('3b-SalesForecastYrs1-3'!V47*'4-AdditionalInputs'!$E$9)</f>
        <v/>
      </c>
      <c r="U9" s="186">
        <f>('3b-SalesForecastYrs1-3'!W47*'4-AdditionalInputs'!$E$9)</f>
        <v/>
      </c>
      <c r="V9" s="186">
        <f>('3b-SalesForecastYrs1-3'!X47*'4-AdditionalInputs'!$E$9)</f>
        <v/>
      </c>
      <c r="W9" s="186">
        <f>('3b-SalesForecastYrs1-3'!Y47*'4-AdditionalInputs'!$E$9)</f>
        <v/>
      </c>
      <c r="X9" s="186">
        <f>('3b-SalesForecastYrs1-3'!Z47*'4-AdditionalInputs'!$E$9)</f>
        <v/>
      </c>
      <c r="Y9" s="186">
        <f>('3b-SalesForecastYrs1-3'!AA47*'4-AdditionalInputs'!$E$9)</f>
        <v/>
      </c>
      <c r="Z9" s="186">
        <f>('3b-SalesForecastYrs1-3'!AB47*'4-AdditionalInputs'!$E$9)</f>
        <v/>
      </c>
      <c r="AA9" s="186">
        <f>('3b-SalesForecastYrs1-3'!AC47*'4-AdditionalInputs'!$E$9)</f>
        <v/>
      </c>
      <c r="AB9" s="191">
        <f>SUM(P9:AA9)</f>
        <v/>
      </c>
    </row>
    <row r="10">
      <c r="A10" s="184" t="inlineStr">
        <is>
          <t xml:space="preserve">Accounts Receivable </t>
        </is>
      </c>
      <c r="B10" s="193">
        <f>'6a-CashFlowYear1'!O11</f>
        <v/>
      </c>
      <c r="C10" s="186">
        <f>('3a-SalesForecastYear1'!M53*'4-AdditionalInputs'!D11)+('3a-SalesForecastYear1'!N53*'4-AdditionalInputs'!D10)</f>
        <v/>
      </c>
      <c r="D10" s="186">
        <f>('3a-SalesForecastYear1'!N53*'4-AdditionalInputs'!$D$11)+('3b-SalesForecastYrs1-3'!C47*'4-AdditionalInputs'!$D$10)</f>
        <v/>
      </c>
      <c r="E10" s="186">
        <f>('3b-SalesForecastYrs1-3'!C47*'4-AdditionalInputs'!$D$11)+('3b-SalesForecastYrs1-3'!D47*'4-AdditionalInputs'!$D$10)</f>
        <v/>
      </c>
      <c r="F10" s="186">
        <f>('3b-SalesForecastYrs1-3'!D47*'4-AdditionalInputs'!$D$11)+('3b-SalesForecastYrs1-3'!E47*'4-AdditionalInputs'!$D$10)</f>
        <v/>
      </c>
      <c r="G10" s="186">
        <f>('3b-SalesForecastYrs1-3'!E47*'4-AdditionalInputs'!$D$11)+('3b-SalesForecastYrs1-3'!F47*'4-AdditionalInputs'!$D$10)</f>
        <v/>
      </c>
      <c r="H10" s="186">
        <f>('3b-SalesForecastYrs1-3'!F47*'4-AdditionalInputs'!$D$11)+('3b-SalesForecastYrs1-3'!G47*'4-AdditionalInputs'!$D$10)</f>
        <v/>
      </c>
      <c r="I10" s="186">
        <f>('3b-SalesForecastYrs1-3'!G47*'4-AdditionalInputs'!$D$11)+('3b-SalesForecastYrs1-3'!H47*'4-AdditionalInputs'!$D$10)</f>
        <v/>
      </c>
      <c r="J10" s="186">
        <f>('3b-SalesForecastYrs1-3'!H47*'4-AdditionalInputs'!$D$11)+('3b-SalesForecastYrs1-3'!I47*'4-AdditionalInputs'!$D$10)</f>
        <v/>
      </c>
      <c r="K10" s="186">
        <f>('3b-SalesForecastYrs1-3'!I47*'4-AdditionalInputs'!$D$11)+('3b-SalesForecastYrs1-3'!J47*'4-AdditionalInputs'!$D$10)</f>
        <v/>
      </c>
      <c r="L10" s="186">
        <f>('3b-SalesForecastYrs1-3'!J47*'4-AdditionalInputs'!$D$11)+('3b-SalesForecastYrs1-3'!K47*'4-AdditionalInputs'!$D$10)</f>
        <v/>
      </c>
      <c r="M10" s="186">
        <f>('3b-SalesForecastYrs1-3'!K47*'4-AdditionalInputs'!$D$11)+('3b-SalesForecastYrs1-3'!L47*'4-AdditionalInputs'!$D$10)</f>
        <v/>
      </c>
      <c r="N10" s="186">
        <f>('3b-SalesForecastYrs1-3'!L47*'4-AdditionalInputs'!$D$11)+('3b-SalesForecastYrs1-3'!M47*'4-AdditionalInputs'!$D$10)</f>
        <v/>
      </c>
      <c r="O10" s="191">
        <f>SUM(C10:N10)</f>
        <v/>
      </c>
      <c r="P10" s="186">
        <f>('3b-SalesForecastYrs1-3'!M47*'4-AdditionalInputs'!E11)+('3b-SalesForecastYrs1-3'!N47*'4-AdditionalInputs'!E10)</f>
        <v/>
      </c>
      <c r="Q10" s="186">
        <f>('3b-SalesForecastYrs1-3'!N47*'4-AdditionalInputs'!E11)+('3b-SalesForecastYrs1-3'!R47*'4-AdditionalInputs'!E10)</f>
        <v/>
      </c>
      <c r="R10" s="186">
        <f>('3b-SalesForecastYrs1-3'!R47*'4-AdditionalInputs'!$E$11)+('3b-SalesForecastYrs1-3'!S47*'4-AdditionalInputs'!$E$10)</f>
        <v/>
      </c>
      <c r="S10" s="186">
        <f>('3b-SalesForecastYrs1-3'!S47*'4-AdditionalInputs'!$E$11)+('3b-SalesForecastYrs1-3'!T47*'4-AdditionalInputs'!$E$10)</f>
        <v/>
      </c>
      <c r="T10" s="186">
        <f>('3b-SalesForecastYrs1-3'!T47*'4-AdditionalInputs'!$E$11)+('3b-SalesForecastYrs1-3'!U47*'4-AdditionalInputs'!$E$10)</f>
        <v/>
      </c>
      <c r="U10" s="186">
        <f>('3b-SalesForecastYrs1-3'!U47*'4-AdditionalInputs'!$E$11)+('3b-SalesForecastYrs1-3'!V47*'4-AdditionalInputs'!$E$10)</f>
        <v/>
      </c>
      <c r="V10" s="186">
        <f>('3b-SalesForecastYrs1-3'!V47*'4-AdditionalInputs'!$E$11)+('3b-SalesForecastYrs1-3'!W47*'4-AdditionalInputs'!$E$10)</f>
        <v/>
      </c>
      <c r="W10" s="186">
        <f>('3b-SalesForecastYrs1-3'!W47*'4-AdditionalInputs'!$E$11)+('3b-SalesForecastYrs1-3'!X47*'4-AdditionalInputs'!$E$10)</f>
        <v/>
      </c>
      <c r="X10" s="186">
        <f>('3b-SalesForecastYrs1-3'!X47*'4-AdditionalInputs'!$E$11)+('3b-SalesForecastYrs1-3'!Y47*'4-AdditionalInputs'!$E$10)</f>
        <v/>
      </c>
      <c r="Y10" s="186">
        <f>('3b-SalesForecastYrs1-3'!Y47*'4-AdditionalInputs'!$E$11)+('3b-SalesForecastYrs1-3'!Z47*'4-AdditionalInputs'!$E$10)</f>
        <v/>
      </c>
      <c r="Z10" s="186">
        <f>('3b-SalesForecastYrs1-3'!Z47*'4-AdditionalInputs'!$E$11)+('3b-SalesForecastYrs1-3'!AA47*'4-AdditionalInputs'!$E$10)</f>
        <v/>
      </c>
      <c r="AA10" s="186">
        <f>('3b-SalesForecastYrs1-3'!AA47*'4-AdditionalInputs'!$E$11)+('3b-SalesForecastYrs1-3'!AB47*'4-AdditionalInputs'!$E$10)</f>
        <v/>
      </c>
      <c r="AB10" s="191">
        <f>SUM(P10:AA10)</f>
        <v/>
      </c>
    </row>
    <row r="11">
      <c r="A11" s="26" t="inlineStr">
        <is>
          <t>Total Cash Inflows</t>
        </is>
      </c>
      <c r="B11" s="193">
        <f>'6a-CashFlowYear1'!O12</f>
        <v/>
      </c>
      <c r="C11" s="86">
        <f>SUM(C9:C10)</f>
        <v/>
      </c>
      <c r="D11" s="86">
        <f>SUM(D9:D10)</f>
        <v/>
      </c>
      <c r="E11" s="86">
        <f>SUM(E9:E10)</f>
        <v/>
      </c>
      <c r="F11" s="86">
        <f>SUM(F9:F10)</f>
        <v/>
      </c>
      <c r="G11" s="86">
        <f>SUM(G9:G10)</f>
        <v/>
      </c>
      <c r="H11" s="86">
        <f>SUM(H9:H10)</f>
        <v/>
      </c>
      <c r="I11" s="86">
        <f>SUM(I9:I10)</f>
        <v/>
      </c>
      <c r="J11" s="86">
        <f>SUM(J9:J10)</f>
        <v/>
      </c>
      <c r="K11" s="86">
        <f>SUM(K9:K10)</f>
        <v/>
      </c>
      <c r="L11" s="86">
        <f>SUM(L9:L10)</f>
        <v/>
      </c>
      <c r="M11" s="86">
        <f>SUM(M9:M10)</f>
        <v/>
      </c>
      <c r="N11" s="86">
        <f>SUM(N9:N10)</f>
        <v/>
      </c>
      <c r="O11" s="191">
        <f>SUM(O9:O10)</f>
        <v/>
      </c>
      <c r="P11" s="186">
        <f>SUM(P9:P10)</f>
        <v/>
      </c>
      <c r="Q11" s="186">
        <f>SUM(Q9:Q10)</f>
        <v/>
      </c>
      <c r="R11" s="186">
        <f>SUM(R9:R10)</f>
        <v/>
      </c>
      <c r="S11" s="186">
        <f>SUM(S9:S10)</f>
        <v/>
      </c>
      <c r="T11" s="186">
        <f>SUM(T9:T10)</f>
        <v/>
      </c>
      <c r="U11" s="186">
        <f>SUM(U9:U10)</f>
        <v/>
      </c>
      <c r="V11" s="186">
        <f>SUM(V9:V10)</f>
        <v/>
      </c>
      <c r="W11" s="186">
        <f>SUM(W9:W10)</f>
        <v/>
      </c>
      <c r="X11" s="186">
        <f>SUM(X9:X10)</f>
        <v/>
      </c>
      <c r="Y11" s="186">
        <f>SUM(Y9:Y10)</f>
        <v/>
      </c>
      <c r="Z11" s="186">
        <f>SUM(Z9:Z10)</f>
        <v/>
      </c>
      <c r="AA11" s="186">
        <f>SUM(AA9:AA10)</f>
        <v/>
      </c>
      <c r="AB11" s="191">
        <f>SUM(AB9:AB10)</f>
        <v/>
      </c>
    </row>
    <row r="12">
      <c r="A12" s="26" t="n"/>
      <c r="B12" s="193" t="n"/>
      <c r="C12" s="186" t="n"/>
      <c r="D12" s="186" t="n"/>
      <c r="E12" s="186" t="n"/>
      <c r="F12" s="186" t="n"/>
      <c r="G12" s="186" t="n"/>
      <c r="H12" s="186" t="n"/>
      <c r="I12" s="186" t="n"/>
      <c r="J12" s="186" t="n"/>
      <c r="K12" s="186" t="n"/>
      <c r="L12" s="186" t="n"/>
      <c r="M12" s="186" t="n"/>
      <c r="N12" s="186" t="n"/>
      <c r="O12" s="191" t="n"/>
      <c r="P12" s="186" t="n"/>
      <c r="Q12" s="186" t="n"/>
      <c r="R12" s="186" t="n"/>
      <c r="S12" s="186" t="n"/>
      <c r="T12" s="186" t="n"/>
      <c r="U12" s="186" t="n"/>
      <c r="V12" s="186" t="n"/>
      <c r="W12" s="186" t="n"/>
      <c r="X12" s="186" t="n"/>
      <c r="Y12" s="186" t="n"/>
      <c r="Z12" s="186" t="n"/>
      <c r="AA12" s="186" t="n"/>
      <c r="AB12" s="191" t="n"/>
    </row>
    <row r="13">
      <c r="A13" s="47" t="inlineStr">
        <is>
          <t>Cash Outflows</t>
        </is>
      </c>
      <c r="B13" s="193" t="n"/>
      <c r="C13" s="186" t="n"/>
      <c r="D13" s="186" t="n"/>
      <c r="E13" s="186" t="n"/>
      <c r="F13" s="186" t="n"/>
      <c r="G13" s="186" t="n"/>
      <c r="H13" s="186" t="n"/>
      <c r="I13" s="186" t="n"/>
      <c r="J13" s="186" t="n"/>
      <c r="K13" s="186" t="n"/>
      <c r="L13" s="186" t="n"/>
      <c r="M13" s="186" t="n"/>
      <c r="N13" s="186" t="n"/>
      <c r="O13" s="191" t="n"/>
      <c r="P13" s="186" t="n"/>
      <c r="Q13" s="186" t="n"/>
      <c r="R13" s="186" t="n"/>
      <c r="S13" s="186" t="n"/>
      <c r="T13" s="186" t="n"/>
      <c r="U13" s="186" t="n"/>
      <c r="V13" s="186" t="n"/>
      <c r="W13" s="186" t="n"/>
      <c r="X13" s="186" t="n"/>
      <c r="Y13" s="186" t="n"/>
      <c r="Z13" s="186" t="n"/>
      <c r="AA13" s="186" t="n"/>
      <c r="AB13" s="191" t="n"/>
    </row>
    <row r="14">
      <c r="A14" s="184" t="inlineStr">
        <is>
          <t>Investing Activities</t>
        </is>
      </c>
      <c r="B14" s="193" t="n"/>
      <c r="C14" s="186" t="n"/>
      <c r="D14" s="186" t="n"/>
      <c r="E14" s="186" t="n"/>
      <c r="F14" s="186" t="n"/>
      <c r="G14" s="186" t="n"/>
      <c r="H14" s="186" t="n"/>
      <c r="I14" s="186" t="n"/>
      <c r="J14" s="186" t="n"/>
      <c r="K14" s="186" t="n"/>
      <c r="L14" s="186" t="n"/>
      <c r="M14" s="186" t="n"/>
      <c r="N14" s="186" t="n"/>
      <c r="O14" s="191" t="n"/>
      <c r="P14" s="186" t="n"/>
      <c r="Q14" s="186" t="n"/>
      <c r="R14" s="186" t="n"/>
      <c r="S14" s="186" t="n"/>
      <c r="T14" s="186" t="n"/>
      <c r="U14" s="186" t="n"/>
      <c r="V14" s="186" t="n"/>
      <c r="W14" s="186" t="n"/>
      <c r="X14" s="186" t="n"/>
      <c r="Y14" s="186" t="n"/>
      <c r="Z14" s="186" t="n"/>
      <c r="AA14" s="186" t="n"/>
      <c r="AB14" s="191" t="n"/>
    </row>
    <row r="15">
      <c r="A15" s="187" t="inlineStr">
        <is>
          <t>New Fixed Asset Purchases</t>
        </is>
      </c>
      <c r="B15" s="193">
        <f>'6a-CashFlowYear1'!O16</f>
        <v/>
      </c>
      <c r="C15" s="186">
        <f>'4-AdditionalInputs'!$Q$35/12</f>
        <v/>
      </c>
      <c r="D15" s="186">
        <f>'4-AdditionalInputs'!$Q$35/12</f>
        <v/>
      </c>
      <c r="E15" s="186">
        <f>'4-AdditionalInputs'!$Q$35/12</f>
        <v/>
      </c>
      <c r="F15" s="186">
        <f>'4-AdditionalInputs'!$Q$35/12</f>
        <v/>
      </c>
      <c r="G15" s="186">
        <f>'4-AdditionalInputs'!$Q$35/12</f>
        <v/>
      </c>
      <c r="H15" s="186">
        <f>'4-AdditionalInputs'!$Q$35/12</f>
        <v/>
      </c>
      <c r="I15" s="186">
        <f>'4-AdditionalInputs'!$Q$35/12</f>
        <v/>
      </c>
      <c r="J15" s="186">
        <f>'4-AdditionalInputs'!$Q$35/12</f>
        <v/>
      </c>
      <c r="K15" s="186">
        <f>'4-AdditionalInputs'!$Q$35/12</f>
        <v/>
      </c>
      <c r="L15" s="186">
        <f>'4-AdditionalInputs'!$Q$35/12</f>
        <v/>
      </c>
      <c r="M15" s="186">
        <f>'4-AdditionalInputs'!$Q$35/12</f>
        <v/>
      </c>
      <c r="N15" s="186">
        <f>'4-AdditionalInputs'!$Q$35/12</f>
        <v/>
      </c>
      <c r="O15" s="191">
        <f>SUM(C15:N15)</f>
        <v/>
      </c>
      <c r="P15" s="186">
        <f>'4-AdditionalInputs'!$R$35/12</f>
        <v/>
      </c>
      <c r="Q15" s="186">
        <f>'4-AdditionalInputs'!$R$35/12</f>
        <v/>
      </c>
      <c r="R15" s="186">
        <f>'4-AdditionalInputs'!$R$35/12</f>
        <v/>
      </c>
      <c r="S15" s="186">
        <f>'4-AdditionalInputs'!$R$35/12</f>
        <v/>
      </c>
      <c r="T15" s="186">
        <f>'4-AdditionalInputs'!$R$35/12</f>
        <v/>
      </c>
      <c r="U15" s="186">
        <f>'4-AdditionalInputs'!$R$35/12</f>
        <v/>
      </c>
      <c r="V15" s="186">
        <f>'4-AdditionalInputs'!$R$35/12</f>
        <v/>
      </c>
      <c r="W15" s="186">
        <f>'4-AdditionalInputs'!$R$35/12</f>
        <v/>
      </c>
      <c r="X15" s="186">
        <f>'4-AdditionalInputs'!$R$35/12</f>
        <v/>
      </c>
      <c r="Y15" s="186">
        <f>'4-AdditionalInputs'!$R$35/12</f>
        <v/>
      </c>
      <c r="Z15" s="186">
        <f>'4-AdditionalInputs'!$R$35/12</f>
        <v/>
      </c>
      <c r="AA15" s="186">
        <f>'4-AdditionalInputs'!$R$35/12</f>
        <v/>
      </c>
      <c r="AB15" s="191">
        <f>SUM(P15:AA15)</f>
        <v/>
      </c>
    </row>
    <row r="16">
      <c r="A16" s="187" t="inlineStr">
        <is>
          <t>Additional Inventory</t>
        </is>
      </c>
      <c r="B16" s="193">
        <f>+'6a-CashFlowYear1'!O17</f>
        <v/>
      </c>
      <c r="C16" s="154" t="n"/>
      <c r="D16" s="154" t="n"/>
      <c r="E16" s="154" t="n"/>
      <c r="F16" s="154" t="n"/>
      <c r="G16" s="154" t="n"/>
      <c r="H16" s="154" t="n"/>
      <c r="I16" s="154" t="n"/>
      <c r="J16" s="154" t="n"/>
      <c r="K16" s="154" t="n"/>
      <c r="L16" s="154" t="n"/>
      <c r="M16" s="154" t="n"/>
      <c r="N16" s="154" t="n"/>
      <c r="O16" s="191">
        <f>SUM(C16:N16)</f>
        <v/>
      </c>
      <c r="P16" s="154" t="n"/>
      <c r="Q16" s="154" t="n"/>
      <c r="R16" s="154" t="n"/>
      <c r="S16" s="154" t="n"/>
      <c r="T16" s="154" t="n"/>
      <c r="U16" s="154" t="n"/>
      <c r="V16" s="154" t="n"/>
      <c r="W16" s="154" t="n"/>
      <c r="X16" s="154" t="n"/>
      <c r="Y16" s="154" t="n"/>
      <c r="Z16" s="154" t="n"/>
      <c r="AA16" s="154" t="n"/>
      <c r="AB16" s="191">
        <f>SUM(P16:AA16)</f>
        <v/>
      </c>
    </row>
    <row r="17">
      <c r="A17" s="187" t="inlineStr">
        <is>
          <t>Cost of Goods Sold</t>
        </is>
      </c>
      <c r="B17" s="193">
        <f>'6a-CashFlowYear1'!O18</f>
        <v/>
      </c>
      <c r="C17" s="186">
        <f>('3b-SalesForecastYrs1-3'!C48*'4-AdditionalInputs'!$D$17)+('3a-SalesForecastYear1'!N54*'4-AdditionalInputs'!$D$18)+('3a-SalesForecastYear1'!M54*'4-AdditionalInputs'!$D$19)</f>
        <v/>
      </c>
      <c r="D17" s="186">
        <f>('3b-SalesForecastYrs1-3'!D48*'4-AdditionalInputs'!$D$17)+('3b-SalesForecastYrs1-3'!C48*'4-AdditionalInputs'!$D$18)+('3a-SalesForecastYear1'!N54*'4-AdditionalInputs'!$D$19)</f>
        <v/>
      </c>
      <c r="E17" s="186">
        <f>('3b-SalesForecastYrs1-3'!E48*'4-AdditionalInputs'!$D$17)+('3b-SalesForecastYrs1-3'!D48*'4-AdditionalInputs'!$D$18)+('3b-SalesForecastYrs1-3'!C48*'4-AdditionalInputs'!$D$19)</f>
        <v/>
      </c>
      <c r="F17" s="186">
        <f>('3b-SalesForecastYrs1-3'!F48*'4-AdditionalInputs'!$D$17)+('3b-SalesForecastYrs1-3'!E48*'4-AdditionalInputs'!$D$18)+('3b-SalesForecastYrs1-3'!D48*'4-AdditionalInputs'!$D$19)</f>
        <v/>
      </c>
      <c r="G17" s="186">
        <f>('3b-SalesForecastYrs1-3'!G48*'4-AdditionalInputs'!$D$17)+('3b-SalesForecastYrs1-3'!F48*'4-AdditionalInputs'!$D$18)+('3b-SalesForecastYrs1-3'!E48*'4-AdditionalInputs'!$D$19)</f>
        <v/>
      </c>
      <c r="H17" s="186">
        <f>('3b-SalesForecastYrs1-3'!H48*'4-AdditionalInputs'!$D$17)+('3b-SalesForecastYrs1-3'!G48*'4-AdditionalInputs'!$D$18)+('3b-SalesForecastYrs1-3'!F48*'4-AdditionalInputs'!$D$19)</f>
        <v/>
      </c>
      <c r="I17" s="186">
        <f>('3b-SalesForecastYrs1-3'!I48*'4-AdditionalInputs'!$D$17)+('3b-SalesForecastYrs1-3'!H48*'4-AdditionalInputs'!$D$18)+('3b-SalesForecastYrs1-3'!G48*'4-AdditionalInputs'!$D$19)</f>
        <v/>
      </c>
      <c r="J17" s="186">
        <f>('3b-SalesForecastYrs1-3'!J48*'4-AdditionalInputs'!$D$17)+('3b-SalesForecastYrs1-3'!I48*'4-AdditionalInputs'!$D$18)+('3b-SalesForecastYrs1-3'!H48*'4-AdditionalInputs'!$D$19)</f>
        <v/>
      </c>
      <c r="K17" s="186">
        <f>('3b-SalesForecastYrs1-3'!K48*'4-AdditionalInputs'!$D$17)+('3b-SalesForecastYrs1-3'!J48*'4-AdditionalInputs'!$D$18)+('3b-SalesForecastYrs1-3'!I48*'4-AdditionalInputs'!$D$19)</f>
        <v/>
      </c>
      <c r="L17" s="186">
        <f>('3b-SalesForecastYrs1-3'!L48*'4-AdditionalInputs'!$D$17)+('3b-SalesForecastYrs1-3'!K48*'4-AdditionalInputs'!$D$18)+('3b-SalesForecastYrs1-3'!J48*'4-AdditionalInputs'!$D$19)</f>
        <v/>
      </c>
      <c r="M17" s="186">
        <f>('3b-SalesForecastYrs1-3'!M48*'4-AdditionalInputs'!$D$17)+('3b-SalesForecastYrs1-3'!L48*'4-AdditionalInputs'!$D$18)+('3b-SalesForecastYrs1-3'!K48*'4-AdditionalInputs'!$D$19)</f>
        <v/>
      </c>
      <c r="N17" s="186">
        <f>('3b-SalesForecastYrs1-3'!N48*'4-AdditionalInputs'!$D$17)+('3b-SalesForecastYrs1-3'!M48*'4-AdditionalInputs'!$D$18)+('3b-SalesForecastYrs1-3'!L48*'4-AdditionalInputs'!$D$19)</f>
        <v/>
      </c>
      <c r="O17" s="191">
        <f>SUM(C17:N17)</f>
        <v/>
      </c>
      <c r="P17" s="186">
        <f>('3b-SalesForecastYrs1-3'!R48*'4-AdditionalInputs'!$E$17)+('3b-SalesForecastYrs1-3'!N48*'4-AdditionalInputs'!$E$18)+('3b-SalesForecastYrs1-3'!M48*'4-AdditionalInputs'!$E$19)</f>
        <v/>
      </c>
      <c r="Q17" s="186">
        <f>('3b-SalesForecastYrs1-3'!S48*'4-AdditionalInputs'!$E$17)+('3b-SalesForecastYrs1-3'!R48*'4-AdditionalInputs'!$E$18)+('3b-SalesForecastYrs1-3'!N48*'4-AdditionalInputs'!$E$19)</f>
        <v/>
      </c>
      <c r="R17" s="186">
        <f>('3b-SalesForecastYrs1-3'!T48*'4-AdditionalInputs'!$E$17)+('3b-SalesForecastYrs1-3'!S48*'4-AdditionalInputs'!$E$18)+('3b-SalesForecastYrs1-3'!R48*'4-AdditionalInputs'!$E$19)</f>
        <v/>
      </c>
      <c r="S17" s="186">
        <f>('3b-SalesForecastYrs1-3'!U48*'4-AdditionalInputs'!$E$17)+('3b-SalesForecastYrs1-3'!T48*'4-AdditionalInputs'!$E$18)+('3b-SalesForecastYrs1-3'!S48*'4-AdditionalInputs'!$E$19)</f>
        <v/>
      </c>
      <c r="T17" s="186">
        <f>('3b-SalesForecastYrs1-3'!V48*'4-AdditionalInputs'!$E$17)+('3b-SalesForecastYrs1-3'!U48*'4-AdditionalInputs'!$E$18)+('3b-SalesForecastYrs1-3'!T48*'4-AdditionalInputs'!$E$19)</f>
        <v/>
      </c>
      <c r="U17" s="186">
        <f>('3b-SalesForecastYrs1-3'!W48*'4-AdditionalInputs'!$E$17)+('3b-SalesForecastYrs1-3'!V48*'4-AdditionalInputs'!$E$18)+('3b-SalesForecastYrs1-3'!U48*'4-AdditionalInputs'!$E$19)</f>
        <v/>
      </c>
      <c r="V17" s="186">
        <f>('3b-SalesForecastYrs1-3'!X48*'4-AdditionalInputs'!$E$17)+('3b-SalesForecastYrs1-3'!W48*'4-AdditionalInputs'!$E$18)+('3b-SalesForecastYrs1-3'!V48*'4-AdditionalInputs'!$E$19)</f>
        <v/>
      </c>
      <c r="W17" s="186">
        <f>('3b-SalesForecastYrs1-3'!Y48*'4-AdditionalInputs'!$E$17)+('3b-SalesForecastYrs1-3'!X48*'4-AdditionalInputs'!$E$18)+('3b-SalesForecastYrs1-3'!W48*'4-AdditionalInputs'!$E$19)</f>
        <v/>
      </c>
      <c r="X17" s="186">
        <f>('3b-SalesForecastYrs1-3'!Z48*'4-AdditionalInputs'!$E$17)+('3b-SalesForecastYrs1-3'!Y48*'4-AdditionalInputs'!$E$18)+('3b-SalesForecastYrs1-3'!X48*'4-AdditionalInputs'!$E$19)</f>
        <v/>
      </c>
      <c r="Y17" s="186">
        <f>('3b-SalesForecastYrs1-3'!AA48*'4-AdditionalInputs'!$E$17)+('3b-SalesForecastYrs1-3'!Z48*'4-AdditionalInputs'!$E$18)+('3b-SalesForecastYrs1-3'!Y48*'4-AdditionalInputs'!$E$19)</f>
        <v/>
      </c>
      <c r="Z17" s="186">
        <f>('3b-SalesForecastYrs1-3'!AB48*'4-AdditionalInputs'!$E$17)+('3b-SalesForecastYrs1-3'!AA48*'4-AdditionalInputs'!$E$18)+('3b-SalesForecastYrs1-3'!Z48*'4-AdditionalInputs'!$E$19)</f>
        <v/>
      </c>
      <c r="AA17" s="186">
        <f>('3b-SalesForecastYrs1-3'!AC48*'4-AdditionalInputs'!$E$17)+('3b-SalesForecastYrs1-3'!AB48*'4-AdditionalInputs'!$E$18)+('3b-SalesForecastYrs1-3'!AA48*'4-AdditionalInputs'!$E$19)</f>
        <v/>
      </c>
      <c r="AB17" s="191">
        <f>SUM(P17:AA17)</f>
        <v/>
      </c>
    </row>
    <row r="18">
      <c r="A18" s="184" t="inlineStr">
        <is>
          <t>Operating Activities</t>
        </is>
      </c>
      <c r="B18" s="193" t="n"/>
      <c r="C18" s="186" t="n"/>
      <c r="D18" s="186" t="n"/>
      <c r="E18" s="186" t="n"/>
      <c r="F18" s="186" t="n"/>
      <c r="G18" s="186" t="n"/>
      <c r="H18" s="186" t="n"/>
      <c r="I18" s="186" t="n"/>
      <c r="J18" s="186" t="n"/>
      <c r="K18" s="186" t="n"/>
      <c r="L18" s="186" t="n"/>
      <c r="M18" s="186" t="n"/>
      <c r="N18" s="186" t="n"/>
      <c r="O18" s="191" t="n"/>
      <c r="P18" s="186" t="n"/>
      <c r="Q18" s="186" t="n"/>
      <c r="R18" s="186" t="n"/>
      <c r="S18" s="186" t="n"/>
      <c r="T18" s="186" t="n"/>
      <c r="U18" s="186" t="n"/>
      <c r="V18" s="186" t="n"/>
      <c r="W18" s="186" t="n"/>
      <c r="X18" s="186" t="n"/>
      <c r="Y18" s="186" t="n"/>
      <c r="Z18" s="186" t="n"/>
      <c r="AA18" s="186" t="n"/>
      <c r="AB18" s="191" t="n"/>
    </row>
    <row r="19">
      <c r="A19" s="187" t="inlineStr">
        <is>
          <t>Operating Expenses</t>
        </is>
      </c>
      <c r="B19" s="193">
        <f>'6a-CashFlowYear1'!O20</f>
        <v/>
      </c>
      <c r="C19" s="186">
        <f>SUM('5b-OpExYrs1-3'!$E8:$E22)/12</f>
        <v/>
      </c>
      <c r="D19" s="186">
        <f>SUM('5b-OpExYrs1-3'!$E8:$E22)/12</f>
        <v/>
      </c>
      <c r="E19" s="186">
        <f>SUM('5b-OpExYrs1-3'!$E8:$E22)/12</f>
        <v/>
      </c>
      <c r="F19" s="186">
        <f>SUM('5b-OpExYrs1-3'!$E8:$E22)/12</f>
        <v/>
      </c>
      <c r="G19" s="186">
        <f>SUM('5b-OpExYrs1-3'!$E8:$E22)/12</f>
        <v/>
      </c>
      <c r="H19" s="186">
        <f>SUM('5b-OpExYrs1-3'!$E8:$E22)/12</f>
        <v/>
      </c>
      <c r="I19" s="186">
        <f>SUM('5b-OpExYrs1-3'!$E8:$E22)/12</f>
        <v/>
      </c>
      <c r="J19" s="186">
        <f>SUM('5b-OpExYrs1-3'!$E8:$E22)/12</f>
        <v/>
      </c>
      <c r="K19" s="186">
        <f>SUM('5b-OpExYrs1-3'!$E8:$E22)/12</f>
        <v/>
      </c>
      <c r="L19" s="186">
        <f>SUM('5b-OpExYrs1-3'!$E8:$E22)/12</f>
        <v/>
      </c>
      <c r="M19" s="186">
        <f>SUM('5b-OpExYrs1-3'!$E8:$E22)/12</f>
        <v/>
      </c>
      <c r="N19" s="186">
        <f>SUM('5b-OpExYrs1-3'!$E8:$E22)/12</f>
        <v/>
      </c>
      <c r="O19" s="191">
        <f>SUM(C19:N19)</f>
        <v/>
      </c>
      <c r="P19" s="186">
        <f>SUM('5b-OpExYrs1-3'!$G8:$G22)/12</f>
        <v/>
      </c>
      <c r="Q19" s="186">
        <f>SUM('5b-OpExYrs1-3'!$G8:$G22)/12</f>
        <v/>
      </c>
      <c r="R19" s="186">
        <f>SUM('5b-OpExYrs1-3'!$G8:$G22)/12</f>
        <v/>
      </c>
      <c r="S19" s="186">
        <f>SUM('5b-OpExYrs1-3'!$G8:$G22)/12</f>
        <v/>
      </c>
      <c r="T19" s="186">
        <f>SUM('5b-OpExYrs1-3'!$G8:$G22)/12</f>
        <v/>
      </c>
      <c r="U19" s="186">
        <f>SUM('5b-OpExYrs1-3'!$G8:$G22)/12</f>
        <v/>
      </c>
      <c r="V19" s="186">
        <f>SUM('5b-OpExYrs1-3'!$G8:$G22)/12</f>
        <v/>
      </c>
      <c r="W19" s="186">
        <f>SUM('5b-OpExYrs1-3'!$G8:$G22)/12</f>
        <v/>
      </c>
      <c r="X19" s="186">
        <f>SUM('5b-OpExYrs1-3'!$G8:$G22)/12</f>
        <v/>
      </c>
      <c r="Y19" s="186">
        <f>SUM('5b-OpExYrs1-3'!$G8:$G22)/12</f>
        <v/>
      </c>
      <c r="Z19" s="186">
        <f>SUM('5b-OpExYrs1-3'!$G8:$G22)/12</f>
        <v/>
      </c>
      <c r="AA19" s="186">
        <f>SUM('5b-OpExYrs1-3'!$G8:$G22)/12</f>
        <v/>
      </c>
      <c r="AB19" s="191">
        <f>SUM(P19:AA19)</f>
        <v/>
      </c>
    </row>
    <row r="20">
      <c r="A20" s="187" t="inlineStr">
        <is>
          <t>Payroll</t>
        </is>
      </c>
      <c r="B20" s="193">
        <f>'6a-CashFlowYear1'!O21</f>
        <v/>
      </c>
      <c r="C20" s="186">
        <f>'2b-PayrollYrs1-3'!$E$26/12</f>
        <v/>
      </c>
      <c r="D20" s="186">
        <f>'2b-PayrollYrs1-3'!$E$26/12</f>
        <v/>
      </c>
      <c r="E20" s="186">
        <f>'2b-PayrollYrs1-3'!$E$26/12</f>
        <v/>
      </c>
      <c r="F20" s="186">
        <f>'2b-PayrollYrs1-3'!$E$26/12</f>
        <v/>
      </c>
      <c r="G20" s="186">
        <f>'2b-PayrollYrs1-3'!$E$26/12</f>
        <v/>
      </c>
      <c r="H20" s="186">
        <f>'2b-PayrollYrs1-3'!$E$26/12</f>
        <v/>
      </c>
      <c r="I20" s="186">
        <f>'2b-PayrollYrs1-3'!$E$26/12</f>
        <v/>
      </c>
      <c r="J20" s="186">
        <f>'2b-PayrollYrs1-3'!$E$26/12</f>
        <v/>
      </c>
      <c r="K20" s="186">
        <f>'2b-PayrollYrs1-3'!$E$26/12</f>
        <v/>
      </c>
      <c r="L20" s="186">
        <f>'2b-PayrollYrs1-3'!$E$26/12</f>
        <v/>
      </c>
      <c r="M20" s="186">
        <f>'2b-PayrollYrs1-3'!$E$26/12</f>
        <v/>
      </c>
      <c r="N20" s="186">
        <f>'2b-PayrollYrs1-3'!$E$26/12</f>
        <v/>
      </c>
      <c r="O20" s="191">
        <f>SUM(C20:N20)</f>
        <v/>
      </c>
      <c r="P20" s="186">
        <f>'2b-PayrollYrs1-3'!$G$26/12</f>
        <v/>
      </c>
      <c r="Q20" s="186">
        <f>'2b-PayrollYrs1-3'!$G$26/12</f>
        <v/>
      </c>
      <c r="R20" s="186">
        <f>'2b-PayrollYrs1-3'!$G$26/12</f>
        <v/>
      </c>
      <c r="S20" s="186">
        <f>'2b-PayrollYrs1-3'!$G$26/12</f>
        <v/>
      </c>
      <c r="T20" s="186">
        <f>'2b-PayrollYrs1-3'!$G$26/12</f>
        <v/>
      </c>
      <c r="U20" s="186">
        <f>'2b-PayrollYrs1-3'!$G$26/12</f>
        <v/>
      </c>
      <c r="V20" s="186">
        <f>'2b-PayrollYrs1-3'!$G$26/12</f>
        <v/>
      </c>
      <c r="W20" s="186">
        <f>'2b-PayrollYrs1-3'!$G$26/12</f>
        <v/>
      </c>
      <c r="X20" s="186">
        <f>'2b-PayrollYrs1-3'!$G$26/12</f>
        <v/>
      </c>
      <c r="Y20" s="186">
        <f>'2b-PayrollYrs1-3'!$G$26/12</f>
        <v/>
      </c>
      <c r="Z20" s="186">
        <f>'2b-PayrollYrs1-3'!$G$26/12</f>
        <v/>
      </c>
      <c r="AA20" s="186">
        <f>'2b-PayrollYrs1-3'!$G$26/12</f>
        <v/>
      </c>
      <c r="AB20" s="191">
        <f>SUM(P20:AA20)</f>
        <v/>
      </c>
    </row>
    <row r="21">
      <c r="A21" s="187" t="inlineStr">
        <is>
          <t>Taxes</t>
        </is>
      </c>
      <c r="B21" s="193">
        <f>'6a-CashFlowYear1'!O22</f>
        <v/>
      </c>
      <c r="C21" s="186" t="n">
        <v>0</v>
      </c>
      <c r="D21" s="186" t="n">
        <v>0</v>
      </c>
      <c r="E21" s="186">
        <f>SUM('7b-IncomeStatementYrs1-3'!C65:E65)</f>
        <v/>
      </c>
      <c r="F21" s="186" t="n">
        <v>0</v>
      </c>
      <c r="G21" s="186" t="n">
        <v>0</v>
      </c>
      <c r="H21" s="186">
        <f>SUM('7b-IncomeStatementYrs1-3'!F65:H65)</f>
        <v/>
      </c>
      <c r="I21" s="186" t="n">
        <v>0</v>
      </c>
      <c r="J21" s="186" t="n">
        <v>0</v>
      </c>
      <c r="K21" s="186">
        <f>SUM('7b-IncomeStatementYrs1-3'!I65:K65)</f>
        <v/>
      </c>
      <c r="L21" s="186" t="n">
        <v>0</v>
      </c>
      <c r="M21" s="186" t="n">
        <v>0</v>
      </c>
      <c r="N21" s="186">
        <f>SUM('7b-IncomeStatementYrs1-3'!L65:N65)</f>
        <v/>
      </c>
      <c r="O21" s="191" t="n"/>
      <c r="P21" s="186" t="n">
        <v>0</v>
      </c>
      <c r="Q21" s="186" t="n">
        <v>0</v>
      </c>
      <c r="R21" s="186">
        <f>SUM('7b-IncomeStatementYrs1-3'!C69:E69)</f>
        <v/>
      </c>
      <c r="S21" s="186" t="n">
        <v>0</v>
      </c>
      <c r="T21" s="186" t="n">
        <v>0</v>
      </c>
      <c r="U21" s="186">
        <f>SUM('7b-IncomeStatementYrs1-3'!F69:H69)</f>
        <v/>
      </c>
      <c r="V21" s="186" t="n">
        <v>0</v>
      </c>
      <c r="W21" s="186" t="n">
        <v>0</v>
      </c>
      <c r="X21" s="186">
        <f>SUM('7b-IncomeStatementYrs1-3'!I69:K69)</f>
        <v/>
      </c>
      <c r="Y21" s="186" t="n">
        <v>0</v>
      </c>
      <c r="Z21" s="186" t="n">
        <v>0</v>
      </c>
      <c r="AA21" s="186">
        <f>SUM('7b-IncomeStatementYrs1-3'!L69:N69)</f>
        <v/>
      </c>
      <c r="AB21" s="191">
        <f>SUM(P21:AA21)</f>
        <v/>
      </c>
    </row>
    <row r="22">
      <c r="A22" s="184" t="inlineStr">
        <is>
          <t>Financing Activities</t>
        </is>
      </c>
      <c r="B22" s="193" t="n"/>
      <c r="C22" s="186" t="n"/>
      <c r="D22" s="186" t="n"/>
      <c r="E22" s="186" t="n"/>
      <c r="F22" s="186" t="n"/>
      <c r="G22" s="186" t="n"/>
      <c r="H22" s="186" t="n"/>
      <c r="I22" s="186" t="n"/>
      <c r="J22" s="186" t="n"/>
      <c r="K22" s="186" t="n"/>
      <c r="L22" s="186" t="n"/>
      <c r="M22" s="186" t="n"/>
      <c r="N22" s="186" t="n"/>
      <c r="O22" s="191" t="n"/>
      <c r="P22" s="186" t="n"/>
      <c r="Q22" s="186" t="n"/>
      <c r="R22" s="186" t="n"/>
      <c r="S22" s="186" t="n"/>
      <c r="T22" s="186" t="n"/>
      <c r="U22" s="186" t="n"/>
      <c r="V22" s="186" t="n"/>
      <c r="W22" s="186" t="n"/>
      <c r="X22" s="186" t="n"/>
      <c r="Y22" s="186" t="n"/>
      <c r="Z22" s="186" t="n"/>
      <c r="AA22" s="186" t="n"/>
      <c r="AB22" s="191" t="n"/>
    </row>
    <row r="23">
      <c r="A23" s="190" t="inlineStr">
        <is>
          <t>Loan Payments</t>
        </is>
      </c>
      <c r="B23" s="193">
        <f>'6a-CashFlowYear1'!O24</f>
        <v/>
      </c>
      <c r="C23" s="186">
        <f>SUM('Amortization&amp;Depreciation'!C19:C20)+SUM('Amortization&amp;Depreciation'!C39:C40)+SUM('Amortization&amp;Depreciation'!C59:C60)+SUM('Amortization&amp;Depreciation'!C79:C80)+SUM('Amortization&amp;Depreciation'!C99:C100)</f>
        <v/>
      </c>
      <c r="D23" s="186">
        <f>SUM('Amortization&amp;Depreciation'!D19:D20)+SUM('Amortization&amp;Depreciation'!D39:D40)+SUM('Amortization&amp;Depreciation'!D59:D60)+SUM('Amortization&amp;Depreciation'!D79:D80)+SUM('Amortization&amp;Depreciation'!D99:D100)</f>
        <v/>
      </c>
      <c r="E23" s="186">
        <f>SUM('Amortization&amp;Depreciation'!E19:E20)+SUM('Amortization&amp;Depreciation'!E39:E40)+SUM('Amortization&amp;Depreciation'!E59:E60)+SUM('Amortization&amp;Depreciation'!E79:E80)+SUM('Amortization&amp;Depreciation'!E99:E100)</f>
        <v/>
      </c>
      <c r="F23" s="186">
        <f>SUM('Amortization&amp;Depreciation'!F19:F20)+SUM('Amortization&amp;Depreciation'!F39:F40)+SUM('Amortization&amp;Depreciation'!F59:F60)+SUM('Amortization&amp;Depreciation'!F79:F80)+SUM('Amortization&amp;Depreciation'!F99:F100)</f>
        <v/>
      </c>
      <c r="G23" s="186">
        <f>SUM('Amortization&amp;Depreciation'!G19:G20)+SUM('Amortization&amp;Depreciation'!G39:G40)+SUM('Amortization&amp;Depreciation'!G59:G60)+SUM('Amortization&amp;Depreciation'!G79:G80)+SUM('Amortization&amp;Depreciation'!G99:G100)</f>
        <v/>
      </c>
      <c r="H23" s="186">
        <f>SUM('Amortization&amp;Depreciation'!H19:H20)+SUM('Amortization&amp;Depreciation'!H39:H40)+SUM('Amortization&amp;Depreciation'!H59:H60)+SUM('Amortization&amp;Depreciation'!H79:H80)+SUM('Amortization&amp;Depreciation'!H99:H100)</f>
        <v/>
      </c>
      <c r="I23" s="186">
        <f>SUM('Amortization&amp;Depreciation'!I19:I20)+SUM('Amortization&amp;Depreciation'!I39:I40)+SUM('Amortization&amp;Depreciation'!I59:I60)+SUM('Amortization&amp;Depreciation'!I79:I80)+SUM('Amortization&amp;Depreciation'!I99:I100)</f>
        <v/>
      </c>
      <c r="J23" s="186">
        <f>SUM('Amortization&amp;Depreciation'!J19:J20)+SUM('Amortization&amp;Depreciation'!J39:J40)+SUM('Amortization&amp;Depreciation'!J59:J60)+SUM('Amortization&amp;Depreciation'!J79:J80)+SUM('Amortization&amp;Depreciation'!J99:J100)</f>
        <v/>
      </c>
      <c r="K23" s="186">
        <f>SUM('Amortization&amp;Depreciation'!K19:K20)+SUM('Amortization&amp;Depreciation'!K39:K40)+SUM('Amortization&amp;Depreciation'!K59:K60)+SUM('Amortization&amp;Depreciation'!K79:K80)+SUM('Amortization&amp;Depreciation'!K99:K100)</f>
        <v/>
      </c>
      <c r="L23" s="186">
        <f>SUM('Amortization&amp;Depreciation'!L19:L20)+SUM('Amortization&amp;Depreciation'!L39:L40)+SUM('Amortization&amp;Depreciation'!L59:L60)+SUM('Amortization&amp;Depreciation'!L79:L80)+SUM('Amortization&amp;Depreciation'!L99:L100)</f>
        <v/>
      </c>
      <c r="M23" s="186">
        <f>SUM('Amortization&amp;Depreciation'!M19:M20)+SUM('Amortization&amp;Depreciation'!M39:M40)+SUM('Amortization&amp;Depreciation'!M59:M60)+SUM('Amortization&amp;Depreciation'!M79:M80)+SUM('Amortization&amp;Depreciation'!M99:M100)</f>
        <v/>
      </c>
      <c r="N23" s="186">
        <f>SUM('Amortization&amp;Depreciation'!N19:N20)+SUM('Amortization&amp;Depreciation'!N39:N40)+SUM('Amortization&amp;Depreciation'!N59:N60)+SUM('Amortization&amp;Depreciation'!N79:N80)+SUM('Amortization&amp;Depreciation'!N99:N100)</f>
        <v/>
      </c>
      <c r="O23" s="191">
        <f>SUM(C23:N23)</f>
        <v/>
      </c>
      <c r="P23" s="186">
        <f>SUM('Amortization&amp;Depreciation'!C23:C24)+SUM('Amortization&amp;Depreciation'!C43:C44)+SUM('Amortization&amp;Depreciation'!C63:C64)+SUM('Amortization&amp;Depreciation'!C83:C84)+SUM('Amortization&amp;Depreciation'!C103:C104)</f>
        <v/>
      </c>
      <c r="Q23" s="186">
        <f>SUM('Amortization&amp;Depreciation'!D23:D24)+SUM('Amortization&amp;Depreciation'!D43:D44)+SUM('Amortization&amp;Depreciation'!D63:D64)+SUM('Amortization&amp;Depreciation'!D83:D84)+SUM('Amortization&amp;Depreciation'!D103:D104)</f>
        <v/>
      </c>
      <c r="R23" s="186">
        <f>SUM('Amortization&amp;Depreciation'!E23:E24)+SUM('Amortization&amp;Depreciation'!E43:E44)+SUM('Amortization&amp;Depreciation'!E63:E64)+SUM('Amortization&amp;Depreciation'!E83:E84)+SUM('Amortization&amp;Depreciation'!E103:E104)</f>
        <v/>
      </c>
      <c r="S23" s="186">
        <f>SUM('Amortization&amp;Depreciation'!F23:F24)+SUM('Amortization&amp;Depreciation'!F43:F44)+SUM('Amortization&amp;Depreciation'!F63:F64)+SUM('Amortization&amp;Depreciation'!F83:F84)+SUM('Amortization&amp;Depreciation'!F103:F104)</f>
        <v/>
      </c>
      <c r="T23" s="186">
        <f>SUM('Amortization&amp;Depreciation'!G23:G24)+SUM('Amortization&amp;Depreciation'!G43:G44)+SUM('Amortization&amp;Depreciation'!G63:G64)+SUM('Amortization&amp;Depreciation'!G83:G84)+SUM('Amortization&amp;Depreciation'!G103:G104)</f>
        <v/>
      </c>
      <c r="U23" s="186">
        <f>SUM('Amortization&amp;Depreciation'!H23:H24)+SUM('Amortization&amp;Depreciation'!H43:H44)+SUM('Amortization&amp;Depreciation'!H63:H64)+SUM('Amortization&amp;Depreciation'!H83:H84)+SUM('Amortization&amp;Depreciation'!H103:H104)</f>
        <v/>
      </c>
      <c r="V23" s="186">
        <f>SUM('Amortization&amp;Depreciation'!I23:I24)+SUM('Amortization&amp;Depreciation'!I43:I44)+SUM('Amortization&amp;Depreciation'!I63:I64)+SUM('Amortization&amp;Depreciation'!I83:I84)+SUM('Amortization&amp;Depreciation'!I103:I104)</f>
        <v/>
      </c>
      <c r="W23" s="186">
        <f>SUM('Amortization&amp;Depreciation'!J23:J24)+SUM('Amortization&amp;Depreciation'!J43:J44)+SUM('Amortization&amp;Depreciation'!J63:J64)+SUM('Amortization&amp;Depreciation'!J83:J84)+SUM('Amortization&amp;Depreciation'!J103:J104)</f>
        <v/>
      </c>
      <c r="X23" s="186">
        <f>SUM('Amortization&amp;Depreciation'!K23:K24)+SUM('Amortization&amp;Depreciation'!K43:K44)+SUM('Amortization&amp;Depreciation'!K63:K64)+SUM('Amortization&amp;Depreciation'!K83:K84)+SUM('Amortization&amp;Depreciation'!K103:K104)</f>
        <v/>
      </c>
      <c r="Y23" s="186">
        <f>SUM('Amortization&amp;Depreciation'!L23:L24)+SUM('Amortization&amp;Depreciation'!L43:L44)+SUM('Amortization&amp;Depreciation'!L63:L64)+SUM('Amortization&amp;Depreciation'!L83:L84)+SUM('Amortization&amp;Depreciation'!L103:L104)</f>
        <v/>
      </c>
      <c r="Z23" s="186">
        <f>SUM('Amortization&amp;Depreciation'!M23:M24)+SUM('Amortization&amp;Depreciation'!M43:M44)+SUM('Amortization&amp;Depreciation'!M63:M64)+SUM('Amortization&amp;Depreciation'!M83:M84)+SUM('Amortization&amp;Depreciation'!M103:M104)</f>
        <v/>
      </c>
      <c r="AA23" s="186">
        <f>SUM('Amortization&amp;Depreciation'!N23:N24)+SUM('Amortization&amp;Depreciation'!N43:N44)+SUM('Amortization&amp;Depreciation'!N63:N64)+SUM('Amortization&amp;Depreciation'!N83:N84)+SUM('Amortization&amp;Depreciation'!N103:N104)</f>
        <v/>
      </c>
      <c r="AB23" s="191">
        <f>SUM(P23:AA23)</f>
        <v/>
      </c>
    </row>
    <row r="24">
      <c r="A24" s="190" t="inlineStr">
        <is>
          <t>Owners Distribution</t>
        </is>
      </c>
      <c r="B24" s="193">
        <f>'6a-CashFlowYear1'!O25</f>
        <v/>
      </c>
      <c r="C24" s="154" t="n"/>
      <c r="D24" s="154" t="n"/>
      <c r="E24" s="154" t="n"/>
      <c r="F24" s="154" t="n"/>
      <c r="G24" s="154" t="n"/>
      <c r="H24" s="154" t="n"/>
      <c r="I24" s="154" t="n"/>
      <c r="J24" s="154" t="n"/>
      <c r="K24" s="154" t="n"/>
      <c r="L24" s="154" t="n"/>
      <c r="M24" s="154" t="n"/>
      <c r="N24" s="154" t="n"/>
      <c r="O24" s="191">
        <f>SUM(C24:N24)</f>
        <v/>
      </c>
      <c r="P24" s="154" t="n"/>
      <c r="Q24" s="154" t="n"/>
      <c r="R24" s="154" t="n"/>
      <c r="S24" s="154" t="n"/>
      <c r="T24" s="154" t="n"/>
      <c r="U24" s="154" t="n"/>
      <c r="V24" s="154" t="n"/>
      <c r="W24" s="154" t="n"/>
      <c r="X24" s="154" t="n"/>
      <c r="Y24" s="154" t="n"/>
      <c r="Z24" s="154" t="n"/>
      <c r="AA24" s="154" t="n"/>
      <c r="AB24" s="191">
        <f>SUM(P24:AA24)</f>
        <v/>
      </c>
    </row>
    <row r="25">
      <c r="A25" s="190" t="inlineStr">
        <is>
          <t>Line of Credit Interest</t>
        </is>
      </c>
      <c r="B25" s="193">
        <f>'6a-CashFlowYear1'!O26</f>
        <v/>
      </c>
      <c r="C25" s="186">
        <f>'6a-CashFlowYear1'!N34*'4-AdditionalInputs'!$D$25/12</f>
        <v/>
      </c>
      <c r="D25" s="186">
        <f>C33*'4-AdditionalInputs'!$D$25/12</f>
        <v/>
      </c>
      <c r="E25" s="186">
        <f>D33*'4-AdditionalInputs'!$D$25/12</f>
        <v/>
      </c>
      <c r="F25" s="186">
        <f>E33*'4-AdditionalInputs'!$D$25/12</f>
        <v/>
      </c>
      <c r="G25" s="186">
        <f>F33*'4-AdditionalInputs'!$D$25/12</f>
        <v/>
      </c>
      <c r="H25" s="186">
        <f>G33*'4-AdditionalInputs'!$D$25/12</f>
        <v/>
      </c>
      <c r="I25" s="186">
        <f>H33*'4-AdditionalInputs'!$D$25/12</f>
        <v/>
      </c>
      <c r="J25" s="186">
        <f>I33*'4-AdditionalInputs'!$D$25/12</f>
        <v/>
      </c>
      <c r="K25" s="186">
        <f>J33*'4-AdditionalInputs'!$D$25/12</f>
        <v/>
      </c>
      <c r="L25" s="186">
        <f>K33*'4-AdditionalInputs'!$D$25/12</f>
        <v/>
      </c>
      <c r="M25" s="186">
        <f>L33*'4-AdditionalInputs'!$D$25/12</f>
        <v/>
      </c>
      <c r="N25" s="186">
        <f>M33*'4-AdditionalInputs'!$D$25/12</f>
        <v/>
      </c>
      <c r="O25" s="191">
        <f>SUM(C25:N25)</f>
        <v/>
      </c>
      <c r="P25" s="186">
        <f>N33*'4-AdditionalInputs'!$D$25/12</f>
        <v/>
      </c>
      <c r="Q25" s="186">
        <f>P33*'4-AdditionalInputs'!$D$25/12</f>
        <v/>
      </c>
      <c r="R25" s="186">
        <f>Q33*'4-AdditionalInputs'!$D$25/12</f>
        <v/>
      </c>
      <c r="S25" s="186">
        <f>R33*'4-AdditionalInputs'!$D$25/12</f>
        <v/>
      </c>
      <c r="T25" s="186">
        <f>S33*'4-AdditionalInputs'!$D$25/12</f>
        <v/>
      </c>
      <c r="U25" s="186">
        <f>T33*'4-AdditionalInputs'!$D$25/12</f>
        <v/>
      </c>
      <c r="V25" s="186">
        <f>U33*'4-AdditionalInputs'!$D$25/12</f>
        <v/>
      </c>
      <c r="W25" s="186">
        <f>V33*'4-AdditionalInputs'!$D$25/12</f>
        <v/>
      </c>
      <c r="X25" s="186">
        <f>W33*'4-AdditionalInputs'!$D$25/12</f>
        <v/>
      </c>
      <c r="Y25" s="186">
        <f>X33*'4-AdditionalInputs'!$D$25/12</f>
        <v/>
      </c>
      <c r="Z25" s="186">
        <f>Y33*'4-AdditionalInputs'!$D$25/12</f>
        <v/>
      </c>
      <c r="AA25" s="186">
        <f>Z33*'4-AdditionalInputs'!$D$25/12</f>
        <v/>
      </c>
      <c r="AB25" s="191">
        <f>SUM(P25:AA25)</f>
        <v/>
      </c>
    </row>
    <row r="26">
      <c r="A26" s="190" t="inlineStr">
        <is>
          <t>Line of Credit Repayments</t>
        </is>
      </c>
      <c r="B26" s="193">
        <f>'6a-CashFlowYear1'!O27</f>
        <v/>
      </c>
      <c r="C26" s="154" t="n"/>
      <c r="D26" s="154" t="n"/>
      <c r="E26" s="154" t="n"/>
      <c r="F26" s="154" t="n"/>
      <c r="G26" s="154" t="n"/>
      <c r="H26" s="154" t="n"/>
      <c r="I26" s="154" t="n"/>
      <c r="J26" s="154" t="n"/>
      <c r="K26" s="154" t="n"/>
      <c r="L26" s="154" t="n"/>
      <c r="M26" s="154" t="n"/>
      <c r="N26" s="154" t="n"/>
      <c r="O26" s="191">
        <f>SUM(C26:N26)</f>
        <v/>
      </c>
      <c r="P26" s="154" t="n"/>
      <c r="Q26" s="154" t="n"/>
      <c r="R26" s="154" t="n"/>
      <c r="S26" s="154" t="n"/>
      <c r="T26" s="154" t="n"/>
      <c r="U26" s="154" t="n"/>
      <c r="V26" s="154" t="n"/>
      <c r="W26" s="154" t="n"/>
      <c r="X26" s="154" t="n"/>
      <c r="Y26" s="154" t="n"/>
      <c r="Z26" s="154" t="n"/>
      <c r="AA26" s="154" t="n"/>
      <c r="AB26" s="191">
        <f>SUM(P26:AA26)</f>
        <v/>
      </c>
    </row>
    <row r="27">
      <c r="A27" s="190" t="inlineStr">
        <is>
          <t>Dividends Paid</t>
        </is>
      </c>
      <c r="B27" s="193">
        <f>'6a-CashFlowYear1'!O28</f>
        <v/>
      </c>
      <c r="C27" s="154" t="n"/>
      <c r="D27" s="154" t="n"/>
      <c r="E27" s="154" t="n"/>
      <c r="F27" s="154" t="n"/>
      <c r="G27" s="154" t="n"/>
      <c r="H27" s="154" t="n"/>
      <c r="I27" s="154" t="n"/>
      <c r="J27" s="154" t="n"/>
      <c r="K27" s="154" t="n"/>
      <c r="L27" s="154" t="n"/>
      <c r="M27" s="154" t="n"/>
      <c r="N27" s="154" t="n"/>
      <c r="O27" s="191">
        <f>SUM(C27:N27)</f>
        <v/>
      </c>
      <c r="P27" s="154" t="n"/>
      <c r="Q27" s="154" t="n"/>
      <c r="R27" s="154" t="n"/>
      <c r="S27" s="154" t="n"/>
      <c r="T27" s="154" t="n"/>
      <c r="U27" s="154" t="n"/>
      <c r="V27" s="154" t="n"/>
      <c r="W27" s="154" t="n"/>
      <c r="X27" s="154" t="n"/>
      <c r="Y27" s="154" t="n"/>
      <c r="Z27" s="154" t="n"/>
      <c r="AA27" s="154" t="n"/>
      <c r="AB27" s="191">
        <f>SUM(P27:AA27)</f>
        <v/>
      </c>
    </row>
    <row r="28">
      <c r="A28" s="188" t="inlineStr">
        <is>
          <t>Total Cash Outflows</t>
        </is>
      </c>
      <c r="B28" s="193">
        <f>'6a-CashFlowYear1'!O29</f>
        <v/>
      </c>
      <c r="C28" s="189">
        <f>SUM(C15:C27)</f>
        <v/>
      </c>
      <c r="D28" s="189">
        <f>SUM(D15:D27)</f>
        <v/>
      </c>
      <c r="E28" s="189">
        <f>SUM(E15:E27)</f>
        <v/>
      </c>
      <c r="F28" s="189">
        <f>SUM(F15:F27)</f>
        <v/>
      </c>
      <c r="G28" s="189">
        <f>SUM(G15:G27)</f>
        <v/>
      </c>
      <c r="H28" s="189">
        <f>SUM(H15:H27)</f>
        <v/>
      </c>
      <c r="I28" s="189">
        <f>SUM(I15:I27)</f>
        <v/>
      </c>
      <c r="J28" s="189">
        <f>SUM(J15:J27)</f>
        <v/>
      </c>
      <c r="K28" s="189">
        <f>SUM(K15:K27)</f>
        <v/>
      </c>
      <c r="L28" s="189">
        <f>SUM(L15:L27)</f>
        <v/>
      </c>
      <c r="M28" s="189">
        <f>SUM(M15:M27)</f>
        <v/>
      </c>
      <c r="N28" s="189">
        <f>SUM(N15:N27)</f>
        <v/>
      </c>
      <c r="O28" s="191">
        <f>SUM(O15:O27)</f>
        <v/>
      </c>
      <c r="P28" s="189">
        <f>SUM(P15:P27)</f>
        <v/>
      </c>
      <c r="Q28" s="189">
        <f>SUM(Q15:Q27)</f>
        <v/>
      </c>
      <c r="R28" s="189">
        <f>SUM(R15:R27)</f>
        <v/>
      </c>
      <c r="S28" s="189">
        <f>SUM(S15:S27)</f>
        <v/>
      </c>
      <c r="T28" s="189">
        <f>SUM(T15:T27)</f>
        <v/>
      </c>
      <c r="U28" s="189">
        <f>SUM(U15:U27)</f>
        <v/>
      </c>
      <c r="V28" s="189">
        <f>SUM(V15:V27)</f>
        <v/>
      </c>
      <c r="W28" s="189">
        <f>SUM(W15:W27)</f>
        <v/>
      </c>
      <c r="X28" s="189">
        <f>SUM(X15:X27)</f>
        <v/>
      </c>
      <c r="Y28" s="189">
        <f>SUM(Y15:Y27)</f>
        <v/>
      </c>
      <c r="Z28" s="189">
        <f>SUM(Z15:Z27)</f>
        <v/>
      </c>
      <c r="AA28" s="189">
        <f>SUM(AA15:AA27)</f>
        <v/>
      </c>
      <c r="AB28" s="191">
        <f>SUM(P28:AA28)</f>
        <v/>
      </c>
    </row>
    <row r="29">
      <c r="A29" s="47" t="inlineStr">
        <is>
          <t>Net Cash Flows</t>
        </is>
      </c>
      <c r="B29" s="193">
        <f>'6a-CashFlowYear1'!O30</f>
        <v/>
      </c>
      <c r="C29" s="86">
        <f>C11-C28</f>
        <v/>
      </c>
      <c r="D29" s="86">
        <f>D11-D28</f>
        <v/>
      </c>
      <c r="E29" s="86">
        <f>E11-E28</f>
        <v/>
      </c>
      <c r="F29" s="86">
        <f>F11-F28</f>
        <v/>
      </c>
      <c r="G29" s="86">
        <f>G11-G28</f>
        <v/>
      </c>
      <c r="H29" s="86">
        <f>H11-H28</f>
        <v/>
      </c>
      <c r="I29" s="86">
        <f>I11-I28</f>
        <v/>
      </c>
      <c r="J29" s="86">
        <f>J11-J28</f>
        <v/>
      </c>
      <c r="K29" s="86">
        <f>K11-K28</f>
        <v/>
      </c>
      <c r="L29" s="86">
        <f>L11-L28</f>
        <v/>
      </c>
      <c r="M29" s="86">
        <f>M11-M28</f>
        <v/>
      </c>
      <c r="N29" s="86">
        <f>N11-N28</f>
        <v/>
      </c>
      <c r="O29" s="191">
        <f>O11-O28</f>
        <v/>
      </c>
      <c r="P29" s="86">
        <f>P11-P28</f>
        <v/>
      </c>
      <c r="Q29" s="86">
        <f>Q11-Q28</f>
        <v/>
      </c>
      <c r="R29" s="86">
        <f>R11-R28</f>
        <v/>
      </c>
      <c r="S29" s="86">
        <f>S11-S28</f>
        <v/>
      </c>
      <c r="T29" s="86">
        <f>T11-T28</f>
        <v/>
      </c>
      <c r="U29" s="86">
        <f>U11-U28</f>
        <v/>
      </c>
      <c r="V29" s="86">
        <f>V11-V28</f>
        <v/>
      </c>
      <c r="W29" s="86">
        <f>W11-W28</f>
        <v/>
      </c>
      <c r="X29" s="86">
        <f>X11-X28</f>
        <v/>
      </c>
      <c r="Y29" s="86">
        <f>Y11-Y28</f>
        <v/>
      </c>
      <c r="Z29" s="86">
        <f>Z11-Z28</f>
        <v/>
      </c>
      <c r="AA29" s="86">
        <f>AA11-AA28</f>
        <v/>
      </c>
      <c r="AB29" s="191">
        <f>SUM(P29:AA29)</f>
        <v/>
      </c>
    </row>
    <row r="30">
      <c r="A30" s="47" t="inlineStr">
        <is>
          <t>Operating Cash Balance</t>
        </is>
      </c>
      <c r="B30" s="47" t="n"/>
      <c r="C30" s="86">
        <f>C7+C29</f>
        <v/>
      </c>
      <c r="D30" s="86">
        <f>D7+D29</f>
        <v/>
      </c>
      <c r="E30" s="86">
        <f>E7+E29</f>
        <v/>
      </c>
      <c r="F30" s="86">
        <f>F7+F29</f>
        <v/>
      </c>
      <c r="G30" s="86">
        <f>G7+G29</f>
        <v/>
      </c>
      <c r="H30" s="86">
        <f>H7+H29</f>
        <v/>
      </c>
      <c r="I30" s="86">
        <f>I7+I29</f>
        <v/>
      </c>
      <c r="J30" s="86">
        <f>J7+J29</f>
        <v/>
      </c>
      <c r="K30" s="86">
        <f>K7+K29</f>
        <v/>
      </c>
      <c r="L30" s="86">
        <f>L7+L29</f>
        <v/>
      </c>
      <c r="M30" s="86">
        <f>M7+M29</f>
        <v/>
      </c>
      <c r="N30" s="86">
        <f>N7+N29</f>
        <v/>
      </c>
      <c r="O30" s="191" t="n"/>
      <c r="P30" s="86">
        <f>P7+P29</f>
        <v/>
      </c>
      <c r="Q30" s="86">
        <f>Q7+Q29</f>
        <v/>
      </c>
      <c r="R30" s="86">
        <f>R7+R29</f>
        <v/>
      </c>
      <c r="S30" s="86">
        <f>S7+S29</f>
        <v/>
      </c>
      <c r="T30" s="86">
        <f>T7+T29</f>
        <v/>
      </c>
      <c r="U30" s="86">
        <f>U7+U29</f>
        <v/>
      </c>
      <c r="V30" s="86">
        <f>V7+V29</f>
        <v/>
      </c>
      <c r="W30" s="86">
        <f>W7+W29</f>
        <v/>
      </c>
      <c r="X30" s="86">
        <f>X7+X29</f>
        <v/>
      </c>
      <c r="Y30" s="86">
        <f>Y7+Y29</f>
        <v/>
      </c>
      <c r="Z30" s="86">
        <f>Z7+Z29</f>
        <v/>
      </c>
      <c r="AA30" s="86">
        <f>AA7+AA29</f>
        <v/>
      </c>
      <c r="AB30" s="191" t="n"/>
    </row>
    <row r="31">
      <c r="A31" s="47" t="inlineStr">
        <is>
          <t>Line of Credit Drawdown</t>
        </is>
      </c>
      <c r="B31" s="193">
        <f>'6a-CashFlowYear1'!O32</f>
        <v/>
      </c>
      <c r="C31" s="86">
        <f>IF(C30&lt;'4-AdditionalInputs'!$D$24, '4-AdditionalInputs'!$D$24-C30, 0)</f>
        <v/>
      </c>
      <c r="D31" s="86">
        <f>IF(D30&lt;'4-AdditionalInputs'!$D$24, '4-AdditionalInputs'!$D$24-D30, 0)</f>
        <v/>
      </c>
      <c r="E31" s="86">
        <f>IF(E30&lt;'4-AdditionalInputs'!$D$24, '4-AdditionalInputs'!$D$24-E30, 0)</f>
        <v/>
      </c>
      <c r="F31" s="86">
        <f>IF(F30&lt;'4-AdditionalInputs'!$D$24, '4-AdditionalInputs'!$D$24-F30, 0)</f>
        <v/>
      </c>
      <c r="G31" s="86">
        <f>IF(G30&lt;'4-AdditionalInputs'!$D$24, '4-AdditionalInputs'!$D$24-G30, 0)</f>
        <v/>
      </c>
      <c r="H31" s="86">
        <f>IF(H30&lt;'4-AdditionalInputs'!$D$24, '4-AdditionalInputs'!$D$24-H30, 0)</f>
        <v/>
      </c>
      <c r="I31" s="86">
        <f>IF(I30&lt;'4-AdditionalInputs'!$D$24, '4-AdditionalInputs'!$D$24-I30, 0)</f>
        <v/>
      </c>
      <c r="J31" s="86">
        <f>IF(J30&lt;'4-AdditionalInputs'!$D$24, '4-AdditionalInputs'!$D$24-J30, 0)</f>
        <v/>
      </c>
      <c r="K31" s="86">
        <f>IF(K30&lt;'4-AdditionalInputs'!$D$24, '4-AdditionalInputs'!$D$24-K30, 0)</f>
        <v/>
      </c>
      <c r="L31" s="86">
        <f>IF(L30&lt;'4-AdditionalInputs'!$D$24, '4-AdditionalInputs'!$D$24-L30, 0)</f>
        <v/>
      </c>
      <c r="M31" s="86">
        <f>IF(M30&lt;'4-AdditionalInputs'!$D$24, '4-AdditionalInputs'!$D$24-M30, 0)</f>
        <v/>
      </c>
      <c r="N31" s="86">
        <f>IF(N30&lt;'4-AdditionalInputs'!$D$24, '4-AdditionalInputs'!$D$24-N30, 0)</f>
        <v/>
      </c>
      <c r="O31" s="191">
        <f>SUM(C31:N31)</f>
        <v/>
      </c>
      <c r="P31" s="86">
        <f>IF(P30&lt;'4-AdditionalInputs'!$D$24, '4-AdditionalInputs'!$D$24-P30, 0)</f>
        <v/>
      </c>
      <c r="Q31" s="86">
        <f>IF(Q30&lt;'4-AdditionalInputs'!$D$24, '4-AdditionalInputs'!$D$24-Q30, 0)</f>
        <v/>
      </c>
      <c r="R31" s="86">
        <f>IF(R30&lt;'4-AdditionalInputs'!$D$24, '4-AdditionalInputs'!$D$24-R30, 0)</f>
        <v/>
      </c>
      <c r="S31" s="86">
        <f>IF(S30&lt;'4-AdditionalInputs'!$D$24, '4-AdditionalInputs'!$D$24-S30, 0)</f>
        <v/>
      </c>
      <c r="T31" s="86">
        <f>IF(T30&lt;'4-AdditionalInputs'!$D$24, '4-AdditionalInputs'!$D$24-T30, 0)</f>
        <v/>
      </c>
      <c r="U31" s="86">
        <f>IF(U30&lt;'4-AdditionalInputs'!$D$24, '4-AdditionalInputs'!$D$24-U30, 0)</f>
        <v/>
      </c>
      <c r="V31" s="86">
        <f>IF(V30&lt;'4-AdditionalInputs'!$D$24, '4-AdditionalInputs'!$D$24-V30, 0)</f>
        <v/>
      </c>
      <c r="W31" s="86">
        <f>IF(W30&lt;'4-AdditionalInputs'!$D$24, '4-AdditionalInputs'!$D$24-W30, 0)</f>
        <v/>
      </c>
      <c r="X31" s="86">
        <f>IF(X30&lt;'4-AdditionalInputs'!$D$24, '4-AdditionalInputs'!$D$24-X30, 0)</f>
        <v/>
      </c>
      <c r="Y31" s="86">
        <f>IF(Y30&lt;'4-AdditionalInputs'!$D$24, '4-AdditionalInputs'!$D$24-Y30, 0)</f>
        <v/>
      </c>
      <c r="Z31" s="86">
        <f>IF(Z30&lt;'4-AdditionalInputs'!$D$24, '4-AdditionalInputs'!$D$24-Z30, 0)</f>
        <v/>
      </c>
      <c r="AA31" s="86">
        <f>IF(AA30&lt;'4-AdditionalInputs'!$D$24, '4-AdditionalInputs'!$D$24-AA30, 0)</f>
        <v/>
      </c>
      <c r="AB31" s="191">
        <f>SUM(P31:AA31)</f>
        <v/>
      </c>
    </row>
    <row r="32">
      <c r="A32" s="47" t="inlineStr">
        <is>
          <t>Ending Cash Balance</t>
        </is>
      </c>
      <c r="B32" s="47" t="n"/>
      <c r="C32" s="86">
        <f>SUM(C30+C31)</f>
        <v/>
      </c>
      <c r="D32" s="86">
        <f>SUM(D30+D31)</f>
        <v/>
      </c>
      <c r="E32" s="86">
        <f>SUM(E30+E31)</f>
        <v/>
      </c>
      <c r="F32" s="86">
        <f>SUM(F30+F31)</f>
        <v/>
      </c>
      <c r="G32" s="86">
        <f>SUM(G30+G31)</f>
        <v/>
      </c>
      <c r="H32" s="86">
        <f>SUM(H30+H31)</f>
        <v/>
      </c>
      <c r="I32" s="86">
        <f>SUM(I30+I31)</f>
        <v/>
      </c>
      <c r="J32" s="86">
        <f>SUM(J30+J31)</f>
        <v/>
      </c>
      <c r="K32" s="86">
        <f>SUM(K30+K31)</f>
        <v/>
      </c>
      <c r="L32" s="86">
        <f>SUM(L30+L31)</f>
        <v/>
      </c>
      <c r="M32" s="86">
        <f>SUM(M30+M31)</f>
        <v/>
      </c>
      <c r="N32" s="86">
        <f>SUM(N30+N31)</f>
        <v/>
      </c>
      <c r="O32" s="47" t="n"/>
      <c r="P32" s="86">
        <f>SUM(P30+P31)</f>
        <v/>
      </c>
      <c r="Q32" s="86">
        <f>SUM(Q30+Q31)</f>
        <v/>
      </c>
      <c r="R32" s="86">
        <f>SUM(R30+R31)</f>
        <v/>
      </c>
      <c r="S32" s="86">
        <f>SUM(S30+S31)</f>
        <v/>
      </c>
      <c r="T32" s="86">
        <f>SUM(T30+T31)</f>
        <v/>
      </c>
      <c r="U32" s="86">
        <f>SUM(U30+U31)</f>
        <v/>
      </c>
      <c r="V32" s="86">
        <f>SUM(V30+V31)</f>
        <v/>
      </c>
      <c r="W32" s="86">
        <f>SUM(W30+W31)</f>
        <v/>
      </c>
      <c r="X32" s="86">
        <f>SUM(X30+X31)</f>
        <v/>
      </c>
      <c r="Y32" s="86">
        <f>SUM(Y30+Y31)</f>
        <v/>
      </c>
      <c r="Z32" s="86">
        <f>SUM(Z30+Z31)</f>
        <v/>
      </c>
      <c r="AA32" s="86">
        <f>SUM(AA30+AA31)</f>
        <v/>
      </c>
      <c r="AB32" s="191" t="n"/>
    </row>
    <row r="33">
      <c r="A33" s="26" t="inlineStr">
        <is>
          <t>Line of Credit Balance</t>
        </is>
      </c>
      <c r="B33" s="26" t="n"/>
      <c r="C33" s="36">
        <f>IF(C31=0,'6a-CashFlowYear1'!N34-C26,'6a-CashFlowYear1'!N34+C31-C26)</f>
        <v/>
      </c>
      <c r="D33" s="36">
        <f>D31+C33-D26</f>
        <v/>
      </c>
      <c r="E33" s="36">
        <f>E31+D33-E26</f>
        <v/>
      </c>
      <c r="F33" s="36">
        <f>F31+E33-F26</f>
        <v/>
      </c>
      <c r="G33" s="36">
        <f>G31+F33-G26</f>
        <v/>
      </c>
      <c r="H33" s="36">
        <f>H31+G33-H26</f>
        <v/>
      </c>
      <c r="I33" s="36">
        <f>I31+H33-I26</f>
        <v/>
      </c>
      <c r="J33" s="36">
        <f>J31+I33-J26</f>
        <v/>
      </c>
      <c r="K33" s="36">
        <f>K31+J33-K26</f>
        <v/>
      </c>
      <c r="L33" s="36">
        <f>L31+K33-L26</f>
        <v/>
      </c>
      <c r="M33" s="36">
        <f>M31+L33-M26</f>
        <v/>
      </c>
      <c r="N33" s="36">
        <f>N31+M33-N26</f>
        <v/>
      </c>
      <c r="O33" s="26" t="n"/>
      <c r="P33" s="36">
        <f>IF(P31=0,N33-P26,N33+P31-P26)</f>
        <v/>
      </c>
      <c r="Q33" s="36">
        <f>Q31+P33-Q26</f>
        <v/>
      </c>
      <c r="R33" s="36">
        <f>R31+Q33-R26</f>
        <v/>
      </c>
      <c r="S33" s="36">
        <f>S31+R33-S26</f>
        <v/>
      </c>
      <c r="T33" s="36">
        <f>T31+S33-T26</f>
        <v/>
      </c>
      <c r="U33" s="36">
        <f>U31+T33-U26</f>
        <v/>
      </c>
      <c r="V33" s="36">
        <f>V31+U33-V26</f>
        <v/>
      </c>
      <c r="W33" s="36">
        <f>W31+V33-W26</f>
        <v/>
      </c>
      <c r="X33" s="36">
        <f>X31+W33-X26</f>
        <v/>
      </c>
      <c r="Y33" s="36">
        <f>Y31+X33-Y26</f>
        <v/>
      </c>
      <c r="Z33" s="36">
        <f>Z31+Y33-Z26</f>
        <v/>
      </c>
      <c r="AA33" s="36">
        <f>AA31+Z33-AA26</f>
        <v/>
      </c>
      <c r="AB33" s="191" t="n"/>
    </row>
  </sheetData>
  <sheetProtection selectLockedCells="0" selectUnlockedCells="0" sheet="1" objects="1" insertRows="1" insertHyperlinks="1" autoFilter="1" scenarios="1" formatColumns="0" deleteColumns="1" insertColumns="1" pivotTables="1" deleteRows="1" formatCells="1" formatRows="0" sort="1" password="CC3D"/>
  <conditionalFormatting sqref="C24:N24 C26:N27">
    <cfRule type="containsBlanks" priority="23" dxfId="0" stopIfTrue="1">
      <formula>LEN(TRIM(C24))=0</formula>
    </cfRule>
  </conditionalFormatting>
  <conditionalFormatting sqref="C28:O28">
    <cfRule type="expression" priority="18" dxfId="36" stopIfTrue="1">
      <formula>ISERROR(C28)</formula>
    </cfRule>
  </conditionalFormatting>
  <conditionalFormatting sqref="C23:O23 C29:N30 D7:N7 D31:N31">
    <cfRule type="expression" priority="17" dxfId="27" stopIfTrue="1">
      <formula>ISERROR(C7)</formula>
    </cfRule>
  </conditionalFormatting>
  <conditionalFormatting sqref="C32:N32">
    <cfRule type="expression" priority="16" dxfId="27" stopIfTrue="1">
      <formula>ISERROR(C32)</formula>
    </cfRule>
  </conditionalFormatting>
  <conditionalFormatting sqref="C31:N31">
    <cfRule type="containsBlanks" priority="14" dxfId="17">
      <formula>LEN(TRIM(C31))=0</formula>
    </cfRule>
  </conditionalFormatting>
  <conditionalFormatting sqref="P24:AA24 P26:AA27">
    <cfRule type="containsBlanks" priority="25" dxfId="0" stopIfTrue="1">
      <formula>LEN(TRIM(P24))=0</formula>
    </cfRule>
  </conditionalFormatting>
  <conditionalFormatting sqref="P28:AB28 AB29">
    <cfRule type="expression" priority="11" dxfId="36" stopIfTrue="1">
      <formula>ISERROR(P28)</formula>
    </cfRule>
  </conditionalFormatting>
  <conditionalFormatting sqref="P29:AA30 Q7:AA7 Q31:AA31">
    <cfRule type="expression" priority="10" dxfId="27" stopIfTrue="1">
      <formula>ISERROR(P7)</formula>
    </cfRule>
  </conditionalFormatting>
  <conditionalFormatting sqref="P32:AA32">
    <cfRule type="expression" priority="9" dxfId="27" stopIfTrue="1">
      <formula>ISERROR(P32)</formula>
    </cfRule>
  </conditionalFormatting>
  <conditionalFormatting sqref="AB30:AB33">
    <cfRule type="expression" priority="8" dxfId="27" stopIfTrue="1">
      <formula>ISERROR(AB30)</formula>
    </cfRule>
  </conditionalFormatting>
  <conditionalFormatting sqref="P31:AA31">
    <cfRule type="containsBlanks" priority="7" dxfId="17">
      <formula>LEN(TRIM(P31))=0</formula>
    </cfRule>
  </conditionalFormatting>
  <conditionalFormatting sqref="P23:AA23">
    <cfRule type="expression" priority="5" dxfId="27" stopIfTrue="1">
      <formula>ISERROR(P23)</formula>
    </cfRule>
  </conditionalFormatting>
  <conditionalFormatting sqref="O29">
    <cfRule type="expression" priority="4" dxfId="27" stopIfTrue="1">
      <formula>ISERROR(O29)</formula>
    </cfRule>
  </conditionalFormatting>
  <conditionalFormatting sqref="C16:N16">
    <cfRule type="containsBlanks" priority="24" dxfId="0" stopIfTrue="1">
      <formula>LEN(TRIM(C16))=0</formula>
    </cfRule>
  </conditionalFormatting>
  <conditionalFormatting sqref="P16:AA16">
    <cfRule type="containsBlanks" priority="22" dxfId="0" stopIfTrue="1">
      <formula>LEN(TRIM(P16))=0</formula>
    </cfRule>
  </conditionalFormatting>
  <conditionalFormatting sqref="O31">
    <cfRule type="expression" priority="1" dxfId="27" stopIfTrue="1">
      <formula>ISERROR(O31)</formula>
    </cfRule>
  </conditionalFormatting>
  <dataValidations disablePrompts="1" count="1">
    <dataValidation sqref="B4" showDropDown="0" showInputMessage="1" showErrorMessage="1" allowBlank="1" type="textLength">
      <formula1>1</formula1>
      <formula2>15</formula2>
    </dataValidation>
  </dataValidations>
  <pageMargins left="0.7" right="0.7" top="0.75" bottom="0.75" header="0.3" footer="0.3"/>
  <pageSetup orientation="landscape" scale="71" fitToWidth="2"/>
  <headerFooter differentFirst="1" scaleWithDoc="0">
    <oddHeader>&amp;C&amp;"Gill Sans MT,Regular"&amp;12 Cash Flow Forecast Years 1-3</oddHeader>
    <oddFooter>&amp;L&amp;F&amp;C&amp;A&amp;R&amp;D &amp;T</oddFooter>
    <evenHeader>&amp;C&amp;"Gill Sans MT,Regular"Cash Flow Forecast Years 1-3</evenHeader>
    <evenFooter/>
    <firstHeader>&amp;C&amp;"Gill Sans MT,Regular"&amp;12 Cash Flow Forecast Years 1-3</firstHeader>
    <firstFooter>&amp;L&amp;F&amp;C&amp;A&amp;R&amp;D &amp;T</firstFooter>
  </headerFooter>
  <colBreaks count="1" manualBreakCount="1">
    <brk id="15" min="2" max="32" man="1"/>
  </colBreaks>
  <legacyDrawing xmlns:r="http://schemas.openxmlformats.org/officeDocument/2006/relationships" r:id="anysvml"/>
</worksheet>
</file>

<file path=xl/worksheets/sheet12.xml><?xml version="1.0" encoding="utf-8"?>
<worksheet xmlns="http://schemas.openxmlformats.org/spreadsheetml/2006/main">
  <sheetPr codeName="Sheet8">
    <tabColor rgb="FFFFC95B"/>
    <outlinePr summaryBelow="1" summaryRight="1"/>
    <pageSetUpPr autoPageBreaks="0"/>
  </sheetPr>
  <dimension ref="A1:O67"/>
  <sheetViews>
    <sheetView zoomScale="70" zoomScaleNormal="70" zoomScalePageLayoutView="50" workbookViewId="0">
      <selection activeCell="B2" sqref="B2:C2"/>
    </sheetView>
  </sheetViews>
  <sheetFormatPr baseColWidth="8" defaultColWidth="9.15625" defaultRowHeight="13.5"/>
  <cols>
    <col width="9.15625" customWidth="1" style="5" min="1" max="1"/>
    <col width="46.68359375" bestFit="1" customWidth="1" style="5" min="2" max="2"/>
    <col width="10.26171875" bestFit="1" customWidth="1" style="5" min="3" max="10"/>
    <col width="11.83984375" bestFit="1" customWidth="1" style="5" min="11" max="11"/>
    <col width="10.26171875" bestFit="1" customWidth="1" style="5" min="12" max="12"/>
    <col width="10" customWidth="1" style="5" min="13" max="13"/>
    <col width="11.15625" bestFit="1" customWidth="1" style="5" min="14" max="14"/>
    <col width="14.83984375" bestFit="1" customWidth="1" style="5" min="15" max="15"/>
    <col width="9.15625" customWidth="1" style="5" min="16" max="16384"/>
  </cols>
  <sheetData>
    <row r="1">
      <c r="B1" s="194" t="n"/>
      <c r="C1" s="194" t="n"/>
    </row>
    <row r="2">
      <c r="B2" s="514" t="inlineStr">
        <is>
          <t>Income Statement Year 1</t>
        </is>
      </c>
    </row>
    <row r="3">
      <c r="B3" s="514" t="n"/>
      <c r="C3" s="9" t="n"/>
    </row>
    <row r="4">
      <c r="B4" s="501" t="inlineStr">
        <is>
          <t>Prepared By:</t>
        </is>
      </c>
      <c r="C4" s="501" t="inlineStr">
        <is>
          <t>Company Name:</t>
        </is>
      </c>
    </row>
    <row r="5">
      <c r="B5" s="502">
        <f>IF(ISBLANK(Directions!C10), "Owner", Directions!C10)</f>
        <v/>
      </c>
      <c r="C5" s="502">
        <f>IF(ISBLANK(Directions!D10), "Company 1", Directions!D10)</f>
        <v/>
      </c>
    </row>
    <row r="6">
      <c r="B6" s="502" t="n"/>
      <c r="C6" s="502" t="n"/>
    </row>
    <row r="7" ht="13.8" customHeight="1" thickBot="1">
      <c r="B7" s="506" t="n"/>
      <c r="C7" s="506">
        <f>'2a-PayrollYear1'!F7</f>
        <v/>
      </c>
      <c r="D7" s="506">
        <f>'2a-PayrollYear1'!G7</f>
        <v/>
      </c>
      <c r="E7" s="506">
        <f>'2a-PayrollYear1'!H7</f>
        <v/>
      </c>
      <c r="F7" s="506">
        <f>'2a-PayrollYear1'!I7</f>
        <v/>
      </c>
      <c r="G7" s="506">
        <f>'2a-PayrollYear1'!J7</f>
        <v/>
      </c>
      <c r="H7" s="506">
        <f>'2a-PayrollYear1'!K7</f>
        <v/>
      </c>
      <c r="I7" s="506">
        <f>'2a-PayrollYear1'!L7</f>
        <v/>
      </c>
      <c r="J7" s="506">
        <f>'2a-PayrollYear1'!M7</f>
        <v/>
      </c>
      <c r="K7" s="506">
        <f>'2a-PayrollYear1'!N7</f>
        <v/>
      </c>
      <c r="L7" s="506">
        <f>'2a-PayrollYear1'!O7</f>
        <v/>
      </c>
      <c r="M7" s="506">
        <f>'2a-PayrollYear1'!P7</f>
        <v/>
      </c>
      <c r="N7" s="506">
        <f>'2a-PayrollYear1'!Q7</f>
        <v/>
      </c>
      <c r="O7" s="506">
        <f>'2a-PayrollYear1'!R7</f>
        <v/>
      </c>
    </row>
    <row r="8" ht="13.8" customHeight="1" thickTop="1">
      <c r="B8" s="349" t="inlineStr">
        <is>
          <t>Revenue</t>
        </is>
      </c>
      <c r="C8" s="322" t="n"/>
      <c r="D8" s="322" t="n"/>
      <c r="E8" s="322" t="n"/>
      <c r="F8" s="322" t="n"/>
      <c r="G8" s="322" t="n"/>
      <c r="H8" s="322" t="n"/>
      <c r="I8" s="322" t="n"/>
      <c r="J8" s="322" t="n"/>
      <c r="K8" s="322" t="n"/>
      <c r="L8" s="322" t="n"/>
      <c r="M8" s="322" t="n"/>
      <c r="N8" s="322" t="n"/>
      <c r="O8" s="322" t="n"/>
    </row>
    <row r="9">
      <c r="B9" s="195">
        <f>'3a-SalesForecastYear1'!B17</f>
        <v/>
      </c>
      <c r="C9" s="30">
        <f>'3a-SalesForecastYear1'!C19</f>
        <v/>
      </c>
      <c r="D9" s="30">
        <f>'3a-SalesForecastYear1'!D19</f>
        <v/>
      </c>
      <c r="E9" s="30">
        <f>'3a-SalesForecastYear1'!E19</f>
        <v/>
      </c>
      <c r="F9" s="30">
        <f>'3a-SalesForecastYear1'!F19</f>
        <v/>
      </c>
      <c r="G9" s="30">
        <f>'3a-SalesForecastYear1'!G19</f>
        <v/>
      </c>
      <c r="H9" s="30">
        <f>'3a-SalesForecastYear1'!H19</f>
        <v/>
      </c>
      <c r="I9" s="30">
        <f>'3a-SalesForecastYear1'!I19</f>
        <v/>
      </c>
      <c r="J9" s="30">
        <f>'3a-SalesForecastYear1'!J19</f>
        <v/>
      </c>
      <c r="K9" s="30">
        <f>'3a-SalesForecastYear1'!K19</f>
        <v/>
      </c>
      <c r="L9" s="30">
        <f>'3a-SalesForecastYear1'!L19</f>
        <v/>
      </c>
      <c r="M9" s="30">
        <f>'3a-SalesForecastYear1'!M19</f>
        <v/>
      </c>
      <c r="N9" s="30">
        <f>'3a-SalesForecastYear1'!N19</f>
        <v/>
      </c>
      <c r="O9" s="36">
        <f>SUM(C9:N9)</f>
        <v/>
      </c>
    </row>
    <row r="10">
      <c r="B10" s="196">
        <f>'3a-SalesForecastYear1'!B23</f>
        <v/>
      </c>
      <c r="C10" s="30">
        <f>'3a-SalesForecastYear1'!C25</f>
        <v/>
      </c>
      <c r="D10" s="30">
        <f>'3a-SalesForecastYear1'!D25</f>
        <v/>
      </c>
      <c r="E10" s="30">
        <f>'3a-SalesForecastYear1'!E25</f>
        <v/>
      </c>
      <c r="F10" s="30">
        <f>'3a-SalesForecastYear1'!F25</f>
        <v/>
      </c>
      <c r="G10" s="30">
        <f>'3a-SalesForecastYear1'!G25</f>
        <v/>
      </c>
      <c r="H10" s="30">
        <f>'3a-SalesForecastYear1'!H25</f>
        <v/>
      </c>
      <c r="I10" s="30">
        <f>'3a-SalesForecastYear1'!I25</f>
        <v/>
      </c>
      <c r="J10" s="30">
        <f>'3a-SalesForecastYear1'!J25</f>
        <v/>
      </c>
      <c r="K10" s="30">
        <f>'3a-SalesForecastYear1'!K25</f>
        <v/>
      </c>
      <c r="L10" s="30">
        <f>'3a-SalesForecastYear1'!L25</f>
        <v/>
      </c>
      <c r="M10" s="30">
        <f>'3a-SalesForecastYear1'!M25</f>
        <v/>
      </c>
      <c r="N10" s="30">
        <f>'3a-SalesForecastYear1'!N25</f>
        <v/>
      </c>
      <c r="O10" s="36">
        <f>SUM(C10:N10)</f>
        <v/>
      </c>
    </row>
    <row r="11">
      <c r="B11" s="195">
        <f>'3a-SalesForecastYear1'!B29</f>
        <v/>
      </c>
      <c r="C11" s="30">
        <f>'3a-SalesForecastYear1'!C31</f>
        <v/>
      </c>
      <c r="D11" s="30">
        <f>'3a-SalesForecastYear1'!D31</f>
        <v/>
      </c>
      <c r="E11" s="30">
        <f>'3a-SalesForecastYear1'!E31</f>
        <v/>
      </c>
      <c r="F11" s="30">
        <f>'3a-SalesForecastYear1'!F31</f>
        <v/>
      </c>
      <c r="G11" s="30">
        <f>'3a-SalesForecastYear1'!G31</f>
        <v/>
      </c>
      <c r="H11" s="30">
        <f>'3a-SalesForecastYear1'!H31</f>
        <v/>
      </c>
      <c r="I11" s="30">
        <f>'3a-SalesForecastYear1'!I31</f>
        <v/>
      </c>
      <c r="J11" s="30">
        <f>'3a-SalesForecastYear1'!J31</f>
        <v/>
      </c>
      <c r="K11" s="30">
        <f>'3a-SalesForecastYear1'!K31</f>
        <v/>
      </c>
      <c r="L11" s="30">
        <f>'3a-SalesForecastYear1'!L31</f>
        <v/>
      </c>
      <c r="M11" s="30">
        <f>'3a-SalesForecastYear1'!M31</f>
        <v/>
      </c>
      <c r="N11" s="30">
        <f>'3a-SalesForecastYear1'!N31</f>
        <v/>
      </c>
      <c r="O11" s="36">
        <f>SUM(C11:N11)</f>
        <v/>
      </c>
    </row>
    <row r="12">
      <c r="B12" s="195">
        <f>'3a-SalesForecastYear1'!B35</f>
        <v/>
      </c>
      <c r="C12" s="30">
        <f>'3a-SalesForecastYear1'!C37</f>
        <v/>
      </c>
      <c r="D12" s="30">
        <f>'3a-SalesForecastYear1'!D37</f>
        <v/>
      </c>
      <c r="E12" s="30">
        <f>'3a-SalesForecastYear1'!E37</f>
        <v/>
      </c>
      <c r="F12" s="30">
        <f>'3a-SalesForecastYear1'!F37</f>
        <v/>
      </c>
      <c r="G12" s="30">
        <f>'3a-SalesForecastYear1'!G37</f>
        <v/>
      </c>
      <c r="H12" s="30">
        <f>'3a-SalesForecastYear1'!H37</f>
        <v/>
      </c>
      <c r="I12" s="30">
        <f>'3a-SalesForecastYear1'!I37</f>
        <v/>
      </c>
      <c r="J12" s="30">
        <f>'3a-SalesForecastYear1'!J37</f>
        <v/>
      </c>
      <c r="K12" s="30">
        <f>'3a-SalesForecastYear1'!K37</f>
        <v/>
      </c>
      <c r="L12" s="30">
        <f>'3a-SalesForecastYear1'!L37</f>
        <v/>
      </c>
      <c r="M12" s="30">
        <f>'3a-SalesForecastYear1'!M37</f>
        <v/>
      </c>
      <c r="N12" s="30">
        <f>'3a-SalesForecastYear1'!N37</f>
        <v/>
      </c>
      <c r="O12" s="36">
        <f>SUM(C12:N12)</f>
        <v/>
      </c>
    </row>
    <row r="13">
      <c r="B13" s="195">
        <f>'3a-SalesForecastYear1'!B41</f>
        <v/>
      </c>
      <c r="C13" s="30">
        <f>'3a-SalesForecastYear1'!C43</f>
        <v/>
      </c>
      <c r="D13" s="30">
        <f>'3a-SalesForecastYear1'!D43</f>
        <v/>
      </c>
      <c r="E13" s="30">
        <f>'3a-SalesForecastYear1'!E43</f>
        <v/>
      </c>
      <c r="F13" s="30">
        <f>'3a-SalesForecastYear1'!F43</f>
        <v/>
      </c>
      <c r="G13" s="30">
        <f>'3a-SalesForecastYear1'!G43</f>
        <v/>
      </c>
      <c r="H13" s="30">
        <f>'3a-SalesForecastYear1'!H43</f>
        <v/>
      </c>
      <c r="I13" s="30">
        <f>'3a-SalesForecastYear1'!I43</f>
        <v/>
      </c>
      <c r="J13" s="30">
        <f>'3a-SalesForecastYear1'!J43</f>
        <v/>
      </c>
      <c r="K13" s="30">
        <f>'3a-SalesForecastYear1'!K43</f>
        <v/>
      </c>
      <c r="L13" s="30">
        <f>'3a-SalesForecastYear1'!L43</f>
        <v/>
      </c>
      <c r="M13" s="30">
        <f>'3a-SalesForecastYear1'!M43</f>
        <v/>
      </c>
      <c r="N13" s="30">
        <f>'3a-SalesForecastYear1'!N43</f>
        <v/>
      </c>
      <c r="O13" s="36">
        <f>SUM(C13:N13)</f>
        <v/>
      </c>
    </row>
    <row r="14">
      <c r="B14" s="195">
        <f>'3a-SalesForecastYear1'!B47</f>
        <v/>
      </c>
      <c r="C14" s="30">
        <f>'3a-SalesForecastYear1'!C49</f>
        <v/>
      </c>
      <c r="D14" s="30">
        <f>'3a-SalesForecastYear1'!D49</f>
        <v/>
      </c>
      <c r="E14" s="30">
        <f>'3a-SalesForecastYear1'!E49</f>
        <v/>
      </c>
      <c r="F14" s="30">
        <f>'3a-SalesForecastYear1'!F49</f>
        <v/>
      </c>
      <c r="G14" s="30">
        <f>'3a-SalesForecastYear1'!G49</f>
        <v/>
      </c>
      <c r="H14" s="30">
        <f>'3a-SalesForecastYear1'!H49</f>
        <v/>
      </c>
      <c r="I14" s="30">
        <f>'3a-SalesForecastYear1'!I49</f>
        <v/>
      </c>
      <c r="J14" s="30">
        <f>'3a-SalesForecastYear1'!J49</f>
        <v/>
      </c>
      <c r="K14" s="30">
        <f>'3a-SalesForecastYear1'!K49</f>
        <v/>
      </c>
      <c r="L14" s="30">
        <f>'3a-SalesForecastYear1'!L49</f>
        <v/>
      </c>
      <c r="M14" s="30">
        <f>'3a-SalesForecastYear1'!M49</f>
        <v/>
      </c>
      <c r="N14" s="30">
        <f>'3a-SalesForecastYear1'!N49</f>
        <v/>
      </c>
      <c r="O14" s="36">
        <f>SUM(C14:N14)</f>
        <v/>
      </c>
    </row>
    <row r="15">
      <c r="B15" s="47" t="inlineStr">
        <is>
          <t>Total Revenue</t>
        </is>
      </c>
      <c r="C15" s="36">
        <f>SUM(C9:C14)</f>
        <v/>
      </c>
      <c r="D15" s="36">
        <f>SUM(D9:D14)</f>
        <v/>
      </c>
      <c r="E15" s="36">
        <f>SUM(E9:E14)</f>
        <v/>
      </c>
      <c r="F15" s="36">
        <f>SUM(F9:F14)</f>
        <v/>
      </c>
      <c r="G15" s="36">
        <f>SUM(G9:G14)</f>
        <v/>
      </c>
      <c r="H15" s="36">
        <f>SUM(H9:H14)</f>
        <v/>
      </c>
      <c r="I15" s="36">
        <f>SUM(I9:I14)</f>
        <v/>
      </c>
      <c r="J15" s="36">
        <f>SUM(J9:J14)</f>
        <v/>
      </c>
      <c r="K15" s="36">
        <f>SUM(K9:K14)</f>
        <v/>
      </c>
      <c r="L15" s="36">
        <f>SUM(L9:L14)</f>
        <v/>
      </c>
      <c r="M15" s="36">
        <f>SUM(M9:M14)</f>
        <v/>
      </c>
      <c r="N15" s="36">
        <f>SUM(N9:N14)</f>
        <v/>
      </c>
      <c r="O15" s="36">
        <f>SUM(C15:N15)</f>
        <v/>
      </c>
    </row>
    <row r="16">
      <c r="B16" s="47" t="inlineStr">
        <is>
          <t>Cost of Goods Sold</t>
        </is>
      </c>
      <c r="C16" s="7" t="n"/>
      <c r="D16" s="7" t="n"/>
      <c r="E16" s="7" t="n"/>
      <c r="F16" s="7" t="n"/>
      <c r="G16" s="7" t="n"/>
      <c r="H16" s="7" t="n"/>
      <c r="I16" s="7" t="n"/>
      <c r="J16" s="7" t="n"/>
      <c r="K16" s="7" t="n"/>
      <c r="L16" s="7" t="n"/>
      <c r="M16" s="7" t="n"/>
      <c r="N16" s="7" t="n"/>
      <c r="O16" s="36" t="n"/>
    </row>
    <row r="17">
      <c r="B17" s="195">
        <f>'3a-SalesForecastYear1'!B17</f>
        <v/>
      </c>
      <c r="C17" s="30">
        <f>'3a-SalesForecastYear1'!C20</f>
        <v/>
      </c>
      <c r="D17" s="30">
        <f>'3a-SalesForecastYear1'!D20</f>
        <v/>
      </c>
      <c r="E17" s="30">
        <f>'3a-SalesForecastYear1'!E20</f>
        <v/>
      </c>
      <c r="F17" s="30">
        <f>'3a-SalesForecastYear1'!F20</f>
        <v/>
      </c>
      <c r="G17" s="30">
        <f>'3a-SalesForecastYear1'!G20</f>
        <v/>
      </c>
      <c r="H17" s="30">
        <f>'3a-SalesForecastYear1'!H20</f>
        <v/>
      </c>
      <c r="I17" s="30">
        <f>'3a-SalesForecastYear1'!I20</f>
        <v/>
      </c>
      <c r="J17" s="30">
        <f>'3a-SalesForecastYear1'!J20</f>
        <v/>
      </c>
      <c r="K17" s="30">
        <f>'3a-SalesForecastYear1'!K20</f>
        <v/>
      </c>
      <c r="L17" s="30">
        <f>'3a-SalesForecastYear1'!L20</f>
        <v/>
      </c>
      <c r="M17" s="30">
        <f>'3a-SalesForecastYear1'!M20</f>
        <v/>
      </c>
      <c r="N17" s="30">
        <f>'3a-SalesForecastYear1'!N20</f>
        <v/>
      </c>
      <c r="O17" s="36">
        <f>SUM(C17:N17)</f>
        <v/>
      </c>
    </row>
    <row r="18">
      <c r="B18" s="196">
        <f>'3a-SalesForecastYear1'!B23</f>
        <v/>
      </c>
      <c r="C18" s="30">
        <f>'3a-SalesForecastYear1'!C26</f>
        <v/>
      </c>
      <c r="D18" s="30">
        <f>'3a-SalesForecastYear1'!D26</f>
        <v/>
      </c>
      <c r="E18" s="30">
        <f>'3a-SalesForecastYear1'!E26</f>
        <v/>
      </c>
      <c r="F18" s="30">
        <f>'3a-SalesForecastYear1'!F26</f>
        <v/>
      </c>
      <c r="G18" s="30">
        <f>'3a-SalesForecastYear1'!G26</f>
        <v/>
      </c>
      <c r="H18" s="30">
        <f>'3a-SalesForecastYear1'!H26</f>
        <v/>
      </c>
      <c r="I18" s="30">
        <f>'3a-SalesForecastYear1'!I26</f>
        <v/>
      </c>
      <c r="J18" s="30">
        <f>'3a-SalesForecastYear1'!J26</f>
        <v/>
      </c>
      <c r="K18" s="30">
        <f>'3a-SalesForecastYear1'!K26</f>
        <v/>
      </c>
      <c r="L18" s="30">
        <f>'3a-SalesForecastYear1'!L26</f>
        <v/>
      </c>
      <c r="M18" s="30">
        <f>'3a-SalesForecastYear1'!M26</f>
        <v/>
      </c>
      <c r="N18" s="30">
        <f>'3a-SalesForecastYear1'!N26</f>
        <v/>
      </c>
      <c r="O18" s="36">
        <f>SUM(C18:N18)</f>
        <v/>
      </c>
    </row>
    <row r="19">
      <c r="B19" s="195">
        <f>'3a-SalesForecastYear1'!B29</f>
        <v/>
      </c>
      <c r="C19" s="30">
        <f>'3a-SalesForecastYear1'!C32</f>
        <v/>
      </c>
      <c r="D19" s="30">
        <f>'3a-SalesForecastYear1'!D32</f>
        <v/>
      </c>
      <c r="E19" s="30">
        <f>'3a-SalesForecastYear1'!E32</f>
        <v/>
      </c>
      <c r="F19" s="30">
        <f>'3a-SalesForecastYear1'!F32</f>
        <v/>
      </c>
      <c r="G19" s="30">
        <f>'3a-SalesForecastYear1'!G32</f>
        <v/>
      </c>
      <c r="H19" s="30">
        <f>'3a-SalesForecastYear1'!H32</f>
        <v/>
      </c>
      <c r="I19" s="30">
        <f>'3a-SalesForecastYear1'!I32</f>
        <v/>
      </c>
      <c r="J19" s="30">
        <f>'3a-SalesForecastYear1'!J32</f>
        <v/>
      </c>
      <c r="K19" s="30">
        <f>'3a-SalesForecastYear1'!K32</f>
        <v/>
      </c>
      <c r="L19" s="30">
        <f>'3a-SalesForecastYear1'!L32</f>
        <v/>
      </c>
      <c r="M19" s="30">
        <f>'3a-SalesForecastYear1'!M32</f>
        <v/>
      </c>
      <c r="N19" s="30">
        <f>'3a-SalesForecastYear1'!N32</f>
        <v/>
      </c>
      <c r="O19" s="36">
        <f>SUM(C19:N19)</f>
        <v/>
      </c>
    </row>
    <row r="20">
      <c r="B20" s="195">
        <f>'3a-SalesForecastYear1'!B35</f>
        <v/>
      </c>
      <c r="C20" s="30">
        <f>'3a-SalesForecastYear1'!C38</f>
        <v/>
      </c>
      <c r="D20" s="30">
        <f>'3a-SalesForecastYear1'!D38</f>
        <v/>
      </c>
      <c r="E20" s="30">
        <f>'3a-SalesForecastYear1'!E38</f>
        <v/>
      </c>
      <c r="F20" s="30">
        <f>'3a-SalesForecastYear1'!F38</f>
        <v/>
      </c>
      <c r="G20" s="30">
        <f>'3a-SalesForecastYear1'!G38</f>
        <v/>
      </c>
      <c r="H20" s="30">
        <f>'3a-SalesForecastYear1'!H38</f>
        <v/>
      </c>
      <c r="I20" s="30">
        <f>'3a-SalesForecastYear1'!I38</f>
        <v/>
      </c>
      <c r="J20" s="30">
        <f>'3a-SalesForecastYear1'!J38</f>
        <v/>
      </c>
      <c r="K20" s="30">
        <f>'3a-SalesForecastYear1'!K38</f>
        <v/>
      </c>
      <c r="L20" s="30">
        <f>'3a-SalesForecastYear1'!L38</f>
        <v/>
      </c>
      <c r="M20" s="30">
        <f>'3a-SalesForecastYear1'!M38</f>
        <v/>
      </c>
      <c r="N20" s="30">
        <f>'3a-SalesForecastYear1'!N38</f>
        <v/>
      </c>
      <c r="O20" s="36">
        <f>SUM(C20:N20)</f>
        <v/>
      </c>
    </row>
    <row r="21">
      <c r="B21" s="195">
        <f>'3a-SalesForecastYear1'!B41</f>
        <v/>
      </c>
      <c r="C21" s="30">
        <f>'3a-SalesForecastYear1'!C44</f>
        <v/>
      </c>
      <c r="D21" s="30">
        <f>'3a-SalesForecastYear1'!D44</f>
        <v/>
      </c>
      <c r="E21" s="30">
        <f>'3a-SalesForecastYear1'!E44</f>
        <v/>
      </c>
      <c r="F21" s="30">
        <f>'3a-SalesForecastYear1'!F44</f>
        <v/>
      </c>
      <c r="G21" s="30">
        <f>'3a-SalesForecastYear1'!G44</f>
        <v/>
      </c>
      <c r="H21" s="30">
        <f>'3a-SalesForecastYear1'!H44</f>
        <v/>
      </c>
      <c r="I21" s="30">
        <f>'3a-SalesForecastYear1'!I44</f>
        <v/>
      </c>
      <c r="J21" s="30">
        <f>'3a-SalesForecastYear1'!J44</f>
        <v/>
      </c>
      <c r="K21" s="30">
        <f>'3a-SalesForecastYear1'!K44</f>
        <v/>
      </c>
      <c r="L21" s="30">
        <f>'3a-SalesForecastYear1'!L44</f>
        <v/>
      </c>
      <c r="M21" s="30">
        <f>'3a-SalesForecastYear1'!M44</f>
        <v/>
      </c>
      <c r="N21" s="30">
        <f>'3a-SalesForecastYear1'!N44</f>
        <v/>
      </c>
      <c r="O21" s="36">
        <f>SUM(C21:N21)</f>
        <v/>
      </c>
    </row>
    <row r="22">
      <c r="B22" s="195">
        <f>'3a-SalesForecastYear1'!B47</f>
        <v/>
      </c>
      <c r="C22" s="30">
        <f>'3a-SalesForecastYear1'!C50</f>
        <v/>
      </c>
      <c r="D22" s="30">
        <f>'3a-SalesForecastYear1'!D50</f>
        <v/>
      </c>
      <c r="E22" s="30">
        <f>'3a-SalesForecastYear1'!E50</f>
        <v/>
      </c>
      <c r="F22" s="30">
        <f>'3a-SalesForecastYear1'!F50</f>
        <v/>
      </c>
      <c r="G22" s="30">
        <f>'3a-SalesForecastYear1'!G50</f>
        <v/>
      </c>
      <c r="H22" s="30">
        <f>'3a-SalesForecastYear1'!H50</f>
        <v/>
      </c>
      <c r="I22" s="30">
        <f>'3a-SalesForecastYear1'!I50</f>
        <v/>
      </c>
      <c r="J22" s="30">
        <f>'3a-SalesForecastYear1'!J50</f>
        <v/>
      </c>
      <c r="K22" s="30">
        <f>'3a-SalesForecastYear1'!K50</f>
        <v/>
      </c>
      <c r="L22" s="30">
        <f>'3a-SalesForecastYear1'!L50</f>
        <v/>
      </c>
      <c r="M22" s="30">
        <f>'3a-SalesForecastYear1'!M50</f>
        <v/>
      </c>
      <c r="N22" s="30">
        <f>'3a-SalesForecastYear1'!N50</f>
        <v/>
      </c>
      <c r="O22" s="36">
        <f>SUM(C22:N22)</f>
        <v/>
      </c>
    </row>
    <row r="23">
      <c r="B23" s="197" t="inlineStr">
        <is>
          <t>Total Cost of Goods Sold</t>
        </is>
      </c>
      <c r="C23" s="36">
        <f>SUM(C17:C22)</f>
        <v/>
      </c>
      <c r="D23" s="36">
        <f>SUM(D17:D22)</f>
        <v/>
      </c>
      <c r="E23" s="36">
        <f>SUM(E17:E22)</f>
        <v/>
      </c>
      <c r="F23" s="36">
        <f>SUM(F17:F22)</f>
        <v/>
      </c>
      <c r="G23" s="36">
        <f>SUM(G17:G22)</f>
        <v/>
      </c>
      <c r="H23" s="36">
        <f>SUM(H17:H22)</f>
        <v/>
      </c>
      <c r="I23" s="36">
        <f>SUM(I17:I22)</f>
        <v/>
      </c>
      <c r="J23" s="36">
        <f>SUM(J17:J22)</f>
        <v/>
      </c>
      <c r="K23" s="36">
        <f>SUM(K17:K22)</f>
        <v/>
      </c>
      <c r="L23" s="36">
        <f>SUM(L17:L22)</f>
        <v/>
      </c>
      <c r="M23" s="36">
        <f>SUM(M17:M22)</f>
        <v/>
      </c>
      <c r="N23" s="36">
        <f>SUM(N17:N22)</f>
        <v/>
      </c>
      <c r="O23" s="36">
        <f>SUM(C23:N23)</f>
        <v/>
      </c>
    </row>
    <row r="24">
      <c r="B24" s="47" t="inlineStr">
        <is>
          <t>Gross Margin</t>
        </is>
      </c>
      <c r="C24" s="36">
        <f>C15-C23</f>
        <v/>
      </c>
      <c r="D24" s="36">
        <f>D15-D23</f>
        <v/>
      </c>
      <c r="E24" s="36">
        <f>E15-E23</f>
        <v/>
      </c>
      <c r="F24" s="36">
        <f>F15-F23</f>
        <v/>
      </c>
      <c r="G24" s="36">
        <f>G15-G23</f>
        <v/>
      </c>
      <c r="H24" s="36">
        <f>H15-H23</f>
        <v/>
      </c>
      <c r="I24" s="36">
        <f>I15-I23</f>
        <v/>
      </c>
      <c r="J24" s="36">
        <f>J15-J23</f>
        <v/>
      </c>
      <c r="K24" s="36">
        <f>K15-K23</f>
        <v/>
      </c>
      <c r="L24" s="36">
        <f>L15-L23</f>
        <v/>
      </c>
      <c r="M24" s="36">
        <f>M15-M23</f>
        <v/>
      </c>
      <c r="N24" s="36">
        <f>N15-N23</f>
        <v/>
      </c>
      <c r="O24" s="36">
        <f>SUM(C24:N24)</f>
        <v/>
      </c>
    </row>
    <row r="25">
      <c r="B25" s="47" t="inlineStr">
        <is>
          <t>Payroll</t>
        </is>
      </c>
      <c r="C25" s="36">
        <f>'2a-PayrollYear1'!F25</f>
        <v/>
      </c>
      <c r="D25" s="36">
        <f>'2a-PayrollYear1'!G25</f>
        <v/>
      </c>
      <c r="E25" s="36">
        <f>'2a-PayrollYear1'!H25</f>
        <v/>
      </c>
      <c r="F25" s="36">
        <f>'2a-PayrollYear1'!I25</f>
        <v/>
      </c>
      <c r="G25" s="36">
        <f>'2a-PayrollYear1'!J25</f>
        <v/>
      </c>
      <c r="H25" s="36">
        <f>'2a-PayrollYear1'!K25</f>
        <v/>
      </c>
      <c r="I25" s="36">
        <f>'2a-PayrollYear1'!L25</f>
        <v/>
      </c>
      <c r="J25" s="36">
        <f>'2a-PayrollYear1'!M25</f>
        <v/>
      </c>
      <c r="K25" s="36">
        <f>'2a-PayrollYear1'!N25</f>
        <v/>
      </c>
      <c r="L25" s="36">
        <f>'2a-PayrollYear1'!O25</f>
        <v/>
      </c>
      <c r="M25" s="36">
        <f>'2a-PayrollYear1'!P25</f>
        <v/>
      </c>
      <c r="N25" s="36">
        <f>'2a-PayrollYear1'!Q25</f>
        <v/>
      </c>
      <c r="O25" s="36">
        <f>SUM(C25:N25)</f>
        <v/>
      </c>
    </row>
    <row r="26">
      <c r="B26" s="47" t="inlineStr">
        <is>
          <t>Operating Expenses</t>
        </is>
      </c>
      <c r="C26" s="7" t="n"/>
      <c r="D26" s="7" t="n"/>
      <c r="E26" s="7" t="n"/>
      <c r="F26" s="7" t="n"/>
      <c r="G26" s="7" t="n"/>
      <c r="H26" s="7" t="n"/>
      <c r="I26" s="7" t="n"/>
      <c r="J26" s="7" t="n"/>
      <c r="K26" s="7" t="n"/>
      <c r="L26" s="7" t="n"/>
      <c r="M26" s="7" t="n"/>
      <c r="N26" s="7" t="n"/>
      <c r="O26" s="36" t="n"/>
    </row>
    <row r="27">
      <c r="B27" s="184">
        <f>'5a-OpExYear1'!B10</f>
        <v/>
      </c>
      <c r="C27" s="30">
        <f>'5a-OpExYear1'!C10</f>
        <v/>
      </c>
      <c r="D27" s="30">
        <f>'5a-OpExYear1'!D10</f>
        <v/>
      </c>
      <c r="E27" s="30">
        <f>'5a-OpExYear1'!E10</f>
        <v/>
      </c>
      <c r="F27" s="30">
        <f>'5a-OpExYear1'!F10</f>
        <v/>
      </c>
      <c r="G27" s="30">
        <f>'5a-OpExYear1'!G10</f>
        <v/>
      </c>
      <c r="H27" s="30">
        <f>'5a-OpExYear1'!H10</f>
        <v/>
      </c>
      <c r="I27" s="30">
        <f>'5a-OpExYear1'!I10</f>
        <v/>
      </c>
      <c r="J27" s="30">
        <f>'5a-OpExYear1'!J10</f>
        <v/>
      </c>
      <c r="K27" s="30">
        <f>'5a-OpExYear1'!K10</f>
        <v/>
      </c>
      <c r="L27" s="30">
        <f>'5a-OpExYear1'!L10</f>
        <v/>
      </c>
      <c r="M27" s="30">
        <f>'5a-OpExYear1'!M10</f>
        <v/>
      </c>
      <c r="N27" s="30">
        <f>'5a-OpExYear1'!N10</f>
        <v/>
      </c>
      <c r="O27" s="36">
        <f>SUM(C27:N27)</f>
        <v/>
      </c>
    </row>
    <row r="28">
      <c r="B28" s="184">
        <f>'5a-OpExYear1'!B11</f>
        <v/>
      </c>
      <c r="C28" s="30">
        <f>'5a-OpExYear1'!C11</f>
        <v/>
      </c>
      <c r="D28" s="30">
        <f>'5a-OpExYear1'!D11</f>
        <v/>
      </c>
      <c r="E28" s="30">
        <f>'5a-OpExYear1'!E11</f>
        <v/>
      </c>
      <c r="F28" s="30">
        <f>'5a-OpExYear1'!F11</f>
        <v/>
      </c>
      <c r="G28" s="30">
        <f>'5a-OpExYear1'!G11</f>
        <v/>
      </c>
      <c r="H28" s="30">
        <f>'5a-OpExYear1'!H11</f>
        <v/>
      </c>
      <c r="I28" s="30">
        <f>'5a-OpExYear1'!I11</f>
        <v/>
      </c>
      <c r="J28" s="30">
        <f>'5a-OpExYear1'!J11</f>
        <v/>
      </c>
      <c r="K28" s="30">
        <f>'5a-OpExYear1'!K11</f>
        <v/>
      </c>
      <c r="L28" s="30">
        <f>'5a-OpExYear1'!L11</f>
        <v/>
      </c>
      <c r="M28" s="30">
        <f>'5a-OpExYear1'!M11</f>
        <v/>
      </c>
      <c r="N28" s="30">
        <f>'5a-OpExYear1'!N11</f>
        <v/>
      </c>
      <c r="O28" s="36">
        <f>SUM(C28:N28)</f>
        <v/>
      </c>
    </row>
    <row r="29">
      <c r="B29" s="184">
        <f>'5a-OpExYear1'!B12</f>
        <v/>
      </c>
      <c r="C29" s="30">
        <f>'5a-OpExYear1'!C12</f>
        <v/>
      </c>
      <c r="D29" s="30">
        <f>'5a-OpExYear1'!D12</f>
        <v/>
      </c>
      <c r="E29" s="30">
        <f>'5a-OpExYear1'!E12</f>
        <v/>
      </c>
      <c r="F29" s="30">
        <f>'5a-OpExYear1'!F12</f>
        <v/>
      </c>
      <c r="G29" s="30">
        <f>'5a-OpExYear1'!G12</f>
        <v/>
      </c>
      <c r="H29" s="30">
        <f>'5a-OpExYear1'!H12</f>
        <v/>
      </c>
      <c r="I29" s="30">
        <f>'5a-OpExYear1'!I12</f>
        <v/>
      </c>
      <c r="J29" s="30">
        <f>'5a-OpExYear1'!J12</f>
        <v/>
      </c>
      <c r="K29" s="30">
        <f>'5a-OpExYear1'!K12</f>
        <v/>
      </c>
      <c r="L29" s="30">
        <f>'5a-OpExYear1'!L12</f>
        <v/>
      </c>
      <c r="M29" s="30">
        <f>'5a-OpExYear1'!M12</f>
        <v/>
      </c>
      <c r="N29" s="30">
        <f>'5a-OpExYear1'!N12</f>
        <v/>
      </c>
      <c r="O29" s="36">
        <f>SUM(C29:N29)</f>
        <v/>
      </c>
    </row>
    <row r="30">
      <c r="B30" s="184">
        <f>'5a-OpExYear1'!B13</f>
        <v/>
      </c>
      <c r="C30" s="30">
        <f>'5a-OpExYear1'!C13</f>
        <v/>
      </c>
      <c r="D30" s="30">
        <f>'5a-OpExYear1'!D13</f>
        <v/>
      </c>
      <c r="E30" s="30">
        <f>'5a-OpExYear1'!E13</f>
        <v/>
      </c>
      <c r="F30" s="30">
        <f>'5a-OpExYear1'!F13</f>
        <v/>
      </c>
      <c r="G30" s="30">
        <f>'5a-OpExYear1'!G13</f>
        <v/>
      </c>
      <c r="H30" s="30">
        <f>'5a-OpExYear1'!H13</f>
        <v/>
      </c>
      <c r="I30" s="30">
        <f>'5a-OpExYear1'!I13</f>
        <v/>
      </c>
      <c r="J30" s="30">
        <f>'5a-OpExYear1'!J13</f>
        <v/>
      </c>
      <c r="K30" s="30">
        <f>'5a-OpExYear1'!K13</f>
        <v/>
      </c>
      <c r="L30" s="30">
        <f>'5a-OpExYear1'!L13</f>
        <v/>
      </c>
      <c r="M30" s="30">
        <f>'5a-OpExYear1'!M13</f>
        <v/>
      </c>
      <c r="N30" s="30">
        <f>'5a-OpExYear1'!N13</f>
        <v/>
      </c>
      <c r="O30" s="36">
        <f>SUM(C30:N30)</f>
        <v/>
      </c>
    </row>
    <row r="31">
      <c r="B31" s="184">
        <f>'5a-OpExYear1'!B14</f>
        <v/>
      </c>
      <c r="C31" s="30">
        <f>'5a-OpExYear1'!C14</f>
        <v/>
      </c>
      <c r="D31" s="30">
        <f>'5a-OpExYear1'!D14</f>
        <v/>
      </c>
      <c r="E31" s="30">
        <f>'5a-OpExYear1'!E14</f>
        <v/>
      </c>
      <c r="F31" s="30">
        <f>'5a-OpExYear1'!F14</f>
        <v/>
      </c>
      <c r="G31" s="30">
        <f>'5a-OpExYear1'!G14</f>
        <v/>
      </c>
      <c r="H31" s="30">
        <f>'5a-OpExYear1'!H14</f>
        <v/>
      </c>
      <c r="I31" s="30">
        <f>'5a-OpExYear1'!I14</f>
        <v/>
      </c>
      <c r="J31" s="30">
        <f>'5a-OpExYear1'!J14</f>
        <v/>
      </c>
      <c r="K31" s="30">
        <f>'5a-OpExYear1'!K14</f>
        <v/>
      </c>
      <c r="L31" s="30">
        <f>'5a-OpExYear1'!L14</f>
        <v/>
      </c>
      <c r="M31" s="30">
        <f>'5a-OpExYear1'!M14</f>
        <v/>
      </c>
      <c r="N31" s="30">
        <f>'5a-OpExYear1'!N14</f>
        <v/>
      </c>
      <c r="O31" s="36">
        <f>SUM(C31:N31)</f>
        <v/>
      </c>
    </row>
    <row r="32">
      <c r="B32" s="184">
        <f>'5a-OpExYear1'!B15</f>
        <v/>
      </c>
      <c r="C32" s="30">
        <f>'5a-OpExYear1'!C15</f>
        <v/>
      </c>
      <c r="D32" s="30">
        <f>'5a-OpExYear1'!D15</f>
        <v/>
      </c>
      <c r="E32" s="30">
        <f>'5a-OpExYear1'!E15</f>
        <v/>
      </c>
      <c r="F32" s="30">
        <f>'5a-OpExYear1'!F15</f>
        <v/>
      </c>
      <c r="G32" s="30">
        <f>'5a-OpExYear1'!G15</f>
        <v/>
      </c>
      <c r="H32" s="30">
        <f>'5a-OpExYear1'!H15</f>
        <v/>
      </c>
      <c r="I32" s="30">
        <f>'5a-OpExYear1'!I15</f>
        <v/>
      </c>
      <c r="J32" s="30">
        <f>'5a-OpExYear1'!J15</f>
        <v/>
      </c>
      <c r="K32" s="30">
        <f>'5a-OpExYear1'!K15</f>
        <v/>
      </c>
      <c r="L32" s="30">
        <f>'5a-OpExYear1'!L15</f>
        <v/>
      </c>
      <c r="M32" s="30">
        <f>'5a-OpExYear1'!M15</f>
        <v/>
      </c>
      <c r="N32" s="30">
        <f>'5a-OpExYear1'!N15</f>
        <v/>
      </c>
      <c r="O32" s="36">
        <f>SUM(C32:N32)</f>
        <v/>
      </c>
    </row>
    <row r="33">
      <c r="B33" s="184">
        <f>'5a-OpExYear1'!B16</f>
        <v/>
      </c>
      <c r="C33" s="30">
        <f>'5a-OpExYear1'!C16</f>
        <v/>
      </c>
      <c r="D33" s="30">
        <f>'5a-OpExYear1'!D16</f>
        <v/>
      </c>
      <c r="E33" s="30">
        <f>'5a-OpExYear1'!E16</f>
        <v/>
      </c>
      <c r="F33" s="30">
        <f>'5a-OpExYear1'!F16</f>
        <v/>
      </c>
      <c r="G33" s="30">
        <f>'5a-OpExYear1'!G16</f>
        <v/>
      </c>
      <c r="H33" s="30">
        <f>'5a-OpExYear1'!H16</f>
        <v/>
      </c>
      <c r="I33" s="30">
        <f>'5a-OpExYear1'!I16</f>
        <v/>
      </c>
      <c r="J33" s="30">
        <f>'5a-OpExYear1'!J16</f>
        <v/>
      </c>
      <c r="K33" s="30">
        <f>'5a-OpExYear1'!K16</f>
        <v/>
      </c>
      <c r="L33" s="30">
        <f>'5a-OpExYear1'!L16</f>
        <v/>
      </c>
      <c r="M33" s="30">
        <f>'5a-OpExYear1'!M16</f>
        <v/>
      </c>
      <c r="N33" s="30">
        <f>'5a-OpExYear1'!N16</f>
        <v/>
      </c>
      <c r="O33" s="36">
        <f>SUM(C33:N33)</f>
        <v/>
      </c>
    </row>
    <row r="34">
      <c r="B34" s="184">
        <f>'5a-OpExYear1'!B17</f>
        <v/>
      </c>
      <c r="C34" s="30">
        <f>'5a-OpExYear1'!C17</f>
        <v/>
      </c>
      <c r="D34" s="30">
        <f>'5a-OpExYear1'!D17</f>
        <v/>
      </c>
      <c r="E34" s="30">
        <f>'5a-OpExYear1'!E17</f>
        <v/>
      </c>
      <c r="F34" s="30">
        <f>'5a-OpExYear1'!F17</f>
        <v/>
      </c>
      <c r="G34" s="30">
        <f>'5a-OpExYear1'!G17</f>
        <v/>
      </c>
      <c r="H34" s="30">
        <f>'5a-OpExYear1'!H17</f>
        <v/>
      </c>
      <c r="I34" s="30">
        <f>'5a-OpExYear1'!I17</f>
        <v/>
      </c>
      <c r="J34" s="30">
        <f>'5a-OpExYear1'!J17</f>
        <v/>
      </c>
      <c r="K34" s="30">
        <f>'5a-OpExYear1'!K17</f>
        <v/>
      </c>
      <c r="L34" s="30">
        <f>'5a-OpExYear1'!L17</f>
        <v/>
      </c>
      <c r="M34" s="30">
        <f>'5a-OpExYear1'!M17</f>
        <v/>
      </c>
      <c r="N34" s="30">
        <f>'5a-OpExYear1'!N17</f>
        <v/>
      </c>
      <c r="O34" s="36">
        <f>SUM(C34:N34)</f>
        <v/>
      </c>
    </row>
    <row r="35">
      <c r="B35" s="184">
        <f>'5a-OpExYear1'!B18</f>
        <v/>
      </c>
      <c r="C35" s="30">
        <f>'5a-OpExYear1'!C18</f>
        <v/>
      </c>
      <c r="D35" s="30">
        <f>'5a-OpExYear1'!D18</f>
        <v/>
      </c>
      <c r="E35" s="30">
        <f>'5a-OpExYear1'!E18</f>
        <v/>
      </c>
      <c r="F35" s="30">
        <f>'5a-OpExYear1'!F18</f>
        <v/>
      </c>
      <c r="G35" s="30">
        <f>'5a-OpExYear1'!G18</f>
        <v/>
      </c>
      <c r="H35" s="30">
        <f>'5a-OpExYear1'!H18</f>
        <v/>
      </c>
      <c r="I35" s="30">
        <f>'5a-OpExYear1'!I18</f>
        <v/>
      </c>
      <c r="J35" s="30">
        <f>'5a-OpExYear1'!J18</f>
        <v/>
      </c>
      <c r="K35" s="30">
        <f>'5a-OpExYear1'!K18</f>
        <v/>
      </c>
      <c r="L35" s="30">
        <f>'5a-OpExYear1'!L18</f>
        <v/>
      </c>
      <c r="M35" s="30">
        <f>'5a-OpExYear1'!M18</f>
        <v/>
      </c>
      <c r="N35" s="30">
        <f>'5a-OpExYear1'!N18</f>
        <v/>
      </c>
      <c r="O35" s="36">
        <f>SUM(C35:N35)</f>
        <v/>
      </c>
    </row>
    <row r="36">
      <c r="B36" s="184">
        <f>'5a-OpExYear1'!B19</f>
        <v/>
      </c>
      <c r="C36" s="30">
        <f>'5a-OpExYear1'!C19</f>
        <v/>
      </c>
      <c r="D36" s="30">
        <f>'5a-OpExYear1'!D19</f>
        <v/>
      </c>
      <c r="E36" s="30">
        <f>'5a-OpExYear1'!E19</f>
        <v/>
      </c>
      <c r="F36" s="30">
        <f>'5a-OpExYear1'!F19</f>
        <v/>
      </c>
      <c r="G36" s="30">
        <f>'5a-OpExYear1'!G19</f>
        <v/>
      </c>
      <c r="H36" s="30">
        <f>'5a-OpExYear1'!H19</f>
        <v/>
      </c>
      <c r="I36" s="30">
        <f>'5a-OpExYear1'!I19</f>
        <v/>
      </c>
      <c r="J36" s="30">
        <f>'5a-OpExYear1'!J19</f>
        <v/>
      </c>
      <c r="K36" s="30">
        <f>'5a-OpExYear1'!K19</f>
        <v/>
      </c>
      <c r="L36" s="30">
        <f>'5a-OpExYear1'!L19</f>
        <v/>
      </c>
      <c r="M36" s="30">
        <f>'5a-OpExYear1'!M19</f>
        <v/>
      </c>
      <c r="N36" s="30">
        <f>'5a-OpExYear1'!N19</f>
        <v/>
      </c>
      <c r="O36" s="36">
        <f>SUM(C36:N36)</f>
        <v/>
      </c>
    </row>
    <row r="37">
      <c r="B37" s="184">
        <f>'5a-OpExYear1'!B20</f>
        <v/>
      </c>
      <c r="C37" s="30">
        <f>'5a-OpExYear1'!C20</f>
        <v/>
      </c>
      <c r="D37" s="30">
        <f>'5a-OpExYear1'!D20</f>
        <v/>
      </c>
      <c r="E37" s="30">
        <f>'5a-OpExYear1'!E20</f>
        <v/>
      </c>
      <c r="F37" s="30">
        <f>'5a-OpExYear1'!F20</f>
        <v/>
      </c>
      <c r="G37" s="30">
        <f>'5a-OpExYear1'!G20</f>
        <v/>
      </c>
      <c r="H37" s="30">
        <f>'5a-OpExYear1'!H20</f>
        <v/>
      </c>
      <c r="I37" s="30">
        <f>'5a-OpExYear1'!I20</f>
        <v/>
      </c>
      <c r="J37" s="30">
        <f>'5a-OpExYear1'!J20</f>
        <v/>
      </c>
      <c r="K37" s="30">
        <f>'5a-OpExYear1'!K20</f>
        <v/>
      </c>
      <c r="L37" s="30">
        <f>'5a-OpExYear1'!L20</f>
        <v/>
      </c>
      <c r="M37" s="30">
        <f>'5a-OpExYear1'!M20</f>
        <v/>
      </c>
      <c r="N37" s="30">
        <f>'5a-OpExYear1'!N20</f>
        <v/>
      </c>
      <c r="O37" s="36">
        <f>SUM(C37:N37)</f>
        <v/>
      </c>
    </row>
    <row r="38">
      <c r="B38" s="184">
        <f>'5a-OpExYear1'!B21</f>
        <v/>
      </c>
      <c r="C38" s="30">
        <f>'5a-OpExYear1'!C21</f>
        <v/>
      </c>
      <c r="D38" s="30">
        <f>'5a-OpExYear1'!D21</f>
        <v/>
      </c>
      <c r="E38" s="30">
        <f>'5a-OpExYear1'!E21</f>
        <v/>
      </c>
      <c r="F38" s="30">
        <f>'5a-OpExYear1'!F21</f>
        <v/>
      </c>
      <c r="G38" s="30">
        <f>'5a-OpExYear1'!G21</f>
        <v/>
      </c>
      <c r="H38" s="30">
        <f>'5a-OpExYear1'!H21</f>
        <v/>
      </c>
      <c r="I38" s="30">
        <f>'5a-OpExYear1'!I21</f>
        <v/>
      </c>
      <c r="J38" s="30">
        <f>'5a-OpExYear1'!J21</f>
        <v/>
      </c>
      <c r="K38" s="30">
        <f>'5a-OpExYear1'!K21</f>
        <v/>
      </c>
      <c r="L38" s="30">
        <f>'5a-OpExYear1'!L21</f>
        <v/>
      </c>
      <c r="M38" s="30">
        <f>'5a-OpExYear1'!M21</f>
        <v/>
      </c>
      <c r="N38" s="30">
        <f>'5a-OpExYear1'!N21</f>
        <v/>
      </c>
      <c r="O38" s="36">
        <f>SUM(C38:N38)</f>
        <v/>
      </c>
    </row>
    <row r="39">
      <c r="B39" s="184">
        <f>'5a-OpExYear1'!B22</f>
        <v/>
      </c>
      <c r="C39" s="30">
        <f>'5a-OpExYear1'!C22</f>
        <v/>
      </c>
      <c r="D39" s="30">
        <f>'5a-OpExYear1'!D22</f>
        <v/>
      </c>
      <c r="E39" s="30">
        <f>'5a-OpExYear1'!E22</f>
        <v/>
      </c>
      <c r="F39" s="30">
        <f>'5a-OpExYear1'!F22</f>
        <v/>
      </c>
      <c r="G39" s="30">
        <f>'5a-OpExYear1'!G22</f>
        <v/>
      </c>
      <c r="H39" s="30">
        <f>'5a-OpExYear1'!H22</f>
        <v/>
      </c>
      <c r="I39" s="30">
        <f>'5a-OpExYear1'!I22</f>
        <v/>
      </c>
      <c r="J39" s="30">
        <f>'5a-OpExYear1'!J22</f>
        <v/>
      </c>
      <c r="K39" s="30">
        <f>'5a-OpExYear1'!K22</f>
        <v/>
      </c>
      <c r="L39" s="30">
        <f>'5a-OpExYear1'!L22</f>
        <v/>
      </c>
      <c r="M39" s="30">
        <f>'5a-OpExYear1'!M22</f>
        <v/>
      </c>
      <c r="N39" s="30">
        <f>'5a-OpExYear1'!N22</f>
        <v/>
      </c>
      <c r="O39" s="36">
        <f>SUM(C39:N39)</f>
        <v/>
      </c>
    </row>
    <row r="40">
      <c r="B40" s="184">
        <f>'5a-OpExYear1'!B23</f>
        <v/>
      </c>
      <c r="C40" s="30">
        <f>'5a-OpExYear1'!C23</f>
        <v/>
      </c>
      <c r="D40" s="30">
        <f>'5a-OpExYear1'!D23</f>
        <v/>
      </c>
      <c r="E40" s="30">
        <f>'5a-OpExYear1'!E23</f>
        <v/>
      </c>
      <c r="F40" s="30">
        <f>'5a-OpExYear1'!F23</f>
        <v/>
      </c>
      <c r="G40" s="30">
        <f>'5a-OpExYear1'!G23</f>
        <v/>
      </c>
      <c r="H40" s="30">
        <f>'5a-OpExYear1'!H23</f>
        <v/>
      </c>
      <c r="I40" s="30">
        <f>'5a-OpExYear1'!I23</f>
        <v/>
      </c>
      <c r="J40" s="30">
        <f>'5a-OpExYear1'!J23</f>
        <v/>
      </c>
      <c r="K40" s="30">
        <f>'5a-OpExYear1'!K23</f>
        <v/>
      </c>
      <c r="L40" s="30">
        <f>'5a-OpExYear1'!L23</f>
        <v/>
      </c>
      <c r="M40" s="30">
        <f>'5a-OpExYear1'!M23</f>
        <v/>
      </c>
      <c r="N40" s="30">
        <f>'5a-OpExYear1'!N23</f>
        <v/>
      </c>
      <c r="O40" s="36">
        <f>SUM(C40:N40)</f>
        <v/>
      </c>
    </row>
    <row r="41">
      <c r="B41" s="184">
        <f>'5a-OpExYear1'!B24</f>
        <v/>
      </c>
      <c r="C41" s="30">
        <f>'5a-OpExYear1'!C24</f>
        <v/>
      </c>
      <c r="D41" s="30">
        <f>'5a-OpExYear1'!D24</f>
        <v/>
      </c>
      <c r="E41" s="30">
        <f>'5a-OpExYear1'!E24</f>
        <v/>
      </c>
      <c r="F41" s="30">
        <f>'5a-OpExYear1'!F24</f>
        <v/>
      </c>
      <c r="G41" s="30">
        <f>'5a-OpExYear1'!G24</f>
        <v/>
      </c>
      <c r="H41" s="30">
        <f>'5a-OpExYear1'!H24</f>
        <v/>
      </c>
      <c r="I41" s="30">
        <f>'5a-OpExYear1'!I24</f>
        <v/>
      </c>
      <c r="J41" s="30">
        <f>'5a-OpExYear1'!J24</f>
        <v/>
      </c>
      <c r="K41" s="30">
        <f>'5a-OpExYear1'!K24</f>
        <v/>
      </c>
      <c r="L41" s="30">
        <f>'5a-OpExYear1'!L24</f>
        <v/>
      </c>
      <c r="M41" s="30">
        <f>'5a-OpExYear1'!M24</f>
        <v/>
      </c>
      <c r="N41" s="30">
        <f>'5a-OpExYear1'!N24</f>
        <v/>
      </c>
      <c r="O41" s="36">
        <f>SUM(C41:N41)</f>
        <v/>
      </c>
    </row>
    <row r="42">
      <c r="B42" s="198" t="inlineStr">
        <is>
          <t>Other Expense 1</t>
        </is>
      </c>
      <c r="C42" s="30" t="n"/>
      <c r="D42" s="30" t="n"/>
      <c r="E42" s="30" t="n"/>
      <c r="F42" s="30" t="n"/>
      <c r="G42" s="30" t="n"/>
      <c r="H42" s="30" t="n"/>
      <c r="I42" s="30" t="n"/>
      <c r="J42" s="30" t="n"/>
      <c r="K42" s="30" t="n"/>
      <c r="L42" s="30" t="n"/>
      <c r="M42" s="30" t="n"/>
      <c r="N42" s="30" t="n"/>
      <c r="O42" s="36" t="n"/>
    </row>
    <row r="43">
      <c r="B43" s="198" t="inlineStr">
        <is>
          <t>Other Expense 2</t>
        </is>
      </c>
      <c r="C43" s="30" t="n"/>
      <c r="D43" s="30" t="n"/>
      <c r="E43" s="30" t="n"/>
      <c r="F43" s="30" t="n"/>
      <c r="G43" s="30" t="n"/>
      <c r="H43" s="30" t="n"/>
      <c r="I43" s="30" t="n"/>
      <c r="J43" s="30" t="n"/>
      <c r="K43" s="30" t="n"/>
      <c r="L43" s="30" t="n"/>
      <c r="M43" s="30" t="n"/>
      <c r="N43" s="30" t="n"/>
      <c r="O43" s="36" t="n"/>
    </row>
    <row r="44">
      <c r="B44" s="199" t="inlineStr">
        <is>
          <t>Total Operating Expenses</t>
        </is>
      </c>
      <c r="C44" s="36">
        <f>SUM(C27:C43)</f>
        <v/>
      </c>
      <c r="D44" s="36">
        <f>SUM(D27:D43)</f>
        <v/>
      </c>
      <c r="E44" s="36">
        <f>SUM(E27:E43)</f>
        <v/>
      </c>
      <c r="F44" s="36">
        <f>SUM(F27:F43)</f>
        <v/>
      </c>
      <c r="G44" s="36">
        <f>SUM(G27:G43)</f>
        <v/>
      </c>
      <c r="H44" s="36">
        <f>SUM(H27:H43)</f>
        <v/>
      </c>
      <c r="I44" s="36">
        <f>SUM(I27:I43)</f>
        <v/>
      </c>
      <c r="J44" s="36">
        <f>SUM(J27:J43)</f>
        <v/>
      </c>
      <c r="K44" s="36">
        <f>SUM(K27:K43)</f>
        <v/>
      </c>
      <c r="L44" s="36">
        <f>SUM(L27:L43)</f>
        <v/>
      </c>
      <c r="M44" s="36">
        <f>SUM(M27:M43)</f>
        <v/>
      </c>
      <c r="N44" s="36">
        <f>SUM(N27:N43)</f>
        <v/>
      </c>
      <c r="O44" s="36">
        <f>SUM(C44:N44)</f>
        <v/>
      </c>
    </row>
    <row r="45">
      <c r="B45" s="199" t="inlineStr">
        <is>
          <t>Income (Before Other Expenses)</t>
        </is>
      </c>
      <c r="C45" s="36">
        <f>C24-C25-C44</f>
        <v/>
      </c>
      <c r="D45" s="36">
        <f>+D24-D25-D44</f>
        <v/>
      </c>
      <c r="E45" s="36">
        <f>+E24-E25-E44</f>
        <v/>
      </c>
      <c r="F45" s="36">
        <f>+F24-F25-F44</f>
        <v/>
      </c>
      <c r="G45" s="36">
        <f>+G24-G25-G44</f>
        <v/>
      </c>
      <c r="H45" s="36">
        <f>+H24-H25-H44</f>
        <v/>
      </c>
      <c r="I45" s="36">
        <f>+I24-I25-I44</f>
        <v/>
      </c>
      <c r="J45" s="36">
        <f>+J24-J25-J44</f>
        <v/>
      </c>
      <c r="K45" s="36">
        <f>+K24-K25-K44</f>
        <v/>
      </c>
      <c r="L45" s="36">
        <f>+L24-L25-L44</f>
        <v/>
      </c>
      <c r="M45" s="36">
        <f>+M24-M25-M44</f>
        <v/>
      </c>
      <c r="N45" s="36">
        <f>+N24-N25-N44</f>
        <v/>
      </c>
      <c r="O45" s="36">
        <f>SUM(C45:N45)</f>
        <v/>
      </c>
    </row>
    <row r="46">
      <c r="B46" s="47" t="inlineStr">
        <is>
          <t>Other Expenses</t>
        </is>
      </c>
      <c r="C46" s="7" t="n"/>
      <c r="D46" s="7" t="n"/>
      <c r="E46" s="7" t="n"/>
      <c r="F46" s="7" t="n"/>
      <c r="G46" s="7" t="n"/>
      <c r="H46" s="7" t="n"/>
      <c r="I46" s="7" t="n"/>
      <c r="J46" s="7" t="n"/>
      <c r="K46" s="7" t="n"/>
      <c r="L46" s="7" t="n"/>
      <c r="M46" s="7" t="n"/>
      <c r="N46" s="7" t="n"/>
      <c r="O46" s="36" t="n"/>
    </row>
    <row r="47">
      <c r="B47" s="200" t="inlineStr">
        <is>
          <t>Amortized Start-up Expenses</t>
        </is>
      </c>
      <c r="C47" s="30">
        <f>+'Amortization&amp;Depreciation'!C138+'Amortization&amp;Depreciation'!C149</f>
        <v/>
      </c>
      <c r="D47" s="30">
        <f>+'Amortization&amp;Depreciation'!D138+'Amortization&amp;Depreciation'!D149</f>
        <v/>
      </c>
      <c r="E47" s="30">
        <f>+'Amortization&amp;Depreciation'!E138+'Amortization&amp;Depreciation'!E149</f>
        <v/>
      </c>
      <c r="F47" s="30">
        <f>+'Amortization&amp;Depreciation'!F138+'Amortization&amp;Depreciation'!F149</f>
        <v/>
      </c>
      <c r="G47" s="30">
        <f>+'Amortization&amp;Depreciation'!G138+'Amortization&amp;Depreciation'!G149</f>
        <v/>
      </c>
      <c r="H47" s="30">
        <f>+'Amortization&amp;Depreciation'!H138+'Amortization&amp;Depreciation'!H149</f>
        <v/>
      </c>
      <c r="I47" s="30">
        <f>+'Amortization&amp;Depreciation'!I138+'Amortization&amp;Depreciation'!I149</f>
        <v/>
      </c>
      <c r="J47" s="30">
        <f>+'Amortization&amp;Depreciation'!J138+'Amortization&amp;Depreciation'!J149</f>
        <v/>
      </c>
      <c r="K47" s="30">
        <f>+'Amortization&amp;Depreciation'!K138+'Amortization&amp;Depreciation'!K149</f>
        <v/>
      </c>
      <c r="L47" s="30">
        <f>+'Amortization&amp;Depreciation'!L138+'Amortization&amp;Depreciation'!L149</f>
        <v/>
      </c>
      <c r="M47" s="30">
        <f>+'Amortization&amp;Depreciation'!M138+'Amortization&amp;Depreciation'!M149</f>
        <v/>
      </c>
      <c r="N47" s="30">
        <f>+'Amortization&amp;Depreciation'!N138+'Amortization&amp;Depreciation'!N149</f>
        <v/>
      </c>
      <c r="O47" s="36">
        <f>SUM(C47:N47)</f>
        <v/>
      </c>
    </row>
    <row r="48">
      <c r="B48" s="200" t="inlineStr">
        <is>
          <t>Depreciation</t>
        </is>
      </c>
      <c r="C48" s="30">
        <f>'Amortization&amp;Depreciation'!C119</f>
        <v/>
      </c>
      <c r="D48" s="30">
        <f>+'Amortization&amp;Depreciation'!D119</f>
        <v/>
      </c>
      <c r="E48" s="30">
        <f>+'Amortization&amp;Depreciation'!E119</f>
        <v/>
      </c>
      <c r="F48" s="30">
        <f>+'Amortization&amp;Depreciation'!F119</f>
        <v/>
      </c>
      <c r="G48" s="30">
        <f>+'Amortization&amp;Depreciation'!G119</f>
        <v/>
      </c>
      <c r="H48" s="30">
        <f>+'Amortization&amp;Depreciation'!H119</f>
        <v/>
      </c>
      <c r="I48" s="30">
        <f>+'Amortization&amp;Depreciation'!I119</f>
        <v/>
      </c>
      <c r="J48" s="30">
        <f>+'Amortization&amp;Depreciation'!J119</f>
        <v/>
      </c>
      <c r="K48" s="30">
        <f>+'Amortization&amp;Depreciation'!K119</f>
        <v/>
      </c>
      <c r="L48" s="30">
        <f>+'Amortization&amp;Depreciation'!L119</f>
        <v/>
      </c>
      <c r="M48" s="30">
        <f>+'Amortization&amp;Depreciation'!M119</f>
        <v/>
      </c>
      <c r="N48" s="30">
        <f>+'Amortization&amp;Depreciation'!N119</f>
        <v/>
      </c>
      <c r="O48" s="36">
        <f>SUM(C48:N48)</f>
        <v/>
      </c>
    </row>
    <row r="49">
      <c r="B49" s="200" t="inlineStr">
        <is>
          <t>Interest</t>
        </is>
      </c>
      <c r="C49" s="7" t="n"/>
      <c r="D49" s="7" t="n"/>
      <c r="E49" s="7" t="n"/>
      <c r="F49" s="7" t="n"/>
      <c r="G49" s="7" t="n"/>
      <c r="H49" s="7" t="n"/>
      <c r="I49" s="7" t="n"/>
      <c r="J49" s="7" t="n"/>
      <c r="K49" s="7" t="n"/>
      <c r="L49" s="7" t="n"/>
      <c r="M49" s="7" t="n"/>
      <c r="N49" s="7" t="n"/>
      <c r="O49" s="36" t="n"/>
    </row>
    <row r="50">
      <c r="B50" s="201" t="inlineStr">
        <is>
          <t>Commercial Loan</t>
        </is>
      </c>
      <c r="C50" s="30">
        <f>+'Amortization&amp;Depreciation'!C15</f>
        <v/>
      </c>
      <c r="D50" s="30">
        <f>+'Amortization&amp;Depreciation'!D15</f>
        <v/>
      </c>
      <c r="E50" s="30">
        <f>+'Amortization&amp;Depreciation'!E15</f>
        <v/>
      </c>
      <c r="F50" s="30">
        <f>+'Amortization&amp;Depreciation'!F15</f>
        <v/>
      </c>
      <c r="G50" s="30">
        <f>+'Amortization&amp;Depreciation'!G15</f>
        <v/>
      </c>
      <c r="H50" s="30">
        <f>+'Amortization&amp;Depreciation'!H15</f>
        <v/>
      </c>
      <c r="I50" s="30">
        <f>+'Amortization&amp;Depreciation'!I15</f>
        <v/>
      </c>
      <c r="J50" s="30">
        <f>+'Amortization&amp;Depreciation'!J15</f>
        <v/>
      </c>
      <c r="K50" s="30">
        <f>+'Amortization&amp;Depreciation'!K15</f>
        <v/>
      </c>
      <c r="L50" s="30">
        <f>+'Amortization&amp;Depreciation'!L15</f>
        <v/>
      </c>
      <c r="M50" s="30">
        <f>+'Amortization&amp;Depreciation'!M15</f>
        <v/>
      </c>
      <c r="N50" s="30">
        <f>+'Amortization&amp;Depreciation'!N15</f>
        <v/>
      </c>
      <c r="O50" s="36">
        <f>SUM(C50:N50)</f>
        <v/>
      </c>
    </row>
    <row r="51">
      <c r="B51" s="201" t="inlineStr">
        <is>
          <t>Commercial Mortgage</t>
        </is>
      </c>
      <c r="C51" s="30">
        <f>+'Amortization&amp;Depreciation'!C35</f>
        <v/>
      </c>
      <c r="D51" s="30">
        <f>+'Amortization&amp;Depreciation'!D35</f>
        <v/>
      </c>
      <c r="E51" s="30">
        <f>+'Amortization&amp;Depreciation'!E35</f>
        <v/>
      </c>
      <c r="F51" s="30">
        <f>+'Amortization&amp;Depreciation'!F35</f>
        <v/>
      </c>
      <c r="G51" s="30">
        <f>+'Amortization&amp;Depreciation'!G35</f>
        <v/>
      </c>
      <c r="H51" s="30">
        <f>+'Amortization&amp;Depreciation'!H35</f>
        <v/>
      </c>
      <c r="I51" s="30">
        <f>+'Amortization&amp;Depreciation'!I35</f>
        <v/>
      </c>
      <c r="J51" s="30">
        <f>+'Amortization&amp;Depreciation'!J35</f>
        <v/>
      </c>
      <c r="K51" s="30">
        <f>+'Amortization&amp;Depreciation'!K35</f>
        <v/>
      </c>
      <c r="L51" s="30">
        <f>+'Amortization&amp;Depreciation'!L35</f>
        <v/>
      </c>
      <c r="M51" s="30">
        <f>+'Amortization&amp;Depreciation'!M35</f>
        <v/>
      </c>
      <c r="N51" s="30">
        <f>+'Amortization&amp;Depreciation'!N35</f>
        <v/>
      </c>
      <c r="O51" s="36">
        <f>SUM(C51:N51)</f>
        <v/>
      </c>
    </row>
    <row r="52">
      <c r="B52" s="201" t="inlineStr">
        <is>
          <t>Credit Card Debt</t>
        </is>
      </c>
      <c r="C52" s="30">
        <f>+'Amortization&amp;Depreciation'!C55</f>
        <v/>
      </c>
      <c r="D52" s="30">
        <f>+'Amortization&amp;Depreciation'!D55</f>
        <v/>
      </c>
      <c r="E52" s="30">
        <f>+'Amortization&amp;Depreciation'!E55</f>
        <v/>
      </c>
      <c r="F52" s="30">
        <f>+'Amortization&amp;Depreciation'!F55</f>
        <v/>
      </c>
      <c r="G52" s="30">
        <f>+'Amortization&amp;Depreciation'!G55</f>
        <v/>
      </c>
      <c r="H52" s="30">
        <f>+'Amortization&amp;Depreciation'!H55</f>
        <v/>
      </c>
      <c r="I52" s="30">
        <f>+'Amortization&amp;Depreciation'!I55</f>
        <v/>
      </c>
      <c r="J52" s="30">
        <f>+'Amortization&amp;Depreciation'!J55</f>
        <v/>
      </c>
      <c r="K52" s="30">
        <f>+'Amortization&amp;Depreciation'!K55</f>
        <v/>
      </c>
      <c r="L52" s="30">
        <f>+'Amortization&amp;Depreciation'!L55</f>
        <v/>
      </c>
      <c r="M52" s="30">
        <f>+'Amortization&amp;Depreciation'!M55</f>
        <v/>
      </c>
      <c r="N52" s="30">
        <f>+'Amortization&amp;Depreciation'!N55</f>
        <v/>
      </c>
      <c r="O52" s="36">
        <f>SUM(C52:N52)</f>
        <v/>
      </c>
    </row>
    <row r="53">
      <c r="B53" s="201" t="inlineStr">
        <is>
          <t>Vehicle Loans</t>
        </is>
      </c>
      <c r="C53" s="30">
        <f>+'Amortization&amp;Depreciation'!C75</f>
        <v/>
      </c>
      <c r="D53" s="30">
        <f>+'Amortization&amp;Depreciation'!D75</f>
        <v/>
      </c>
      <c r="E53" s="30">
        <f>+'Amortization&amp;Depreciation'!E75</f>
        <v/>
      </c>
      <c r="F53" s="30">
        <f>+'Amortization&amp;Depreciation'!F75</f>
        <v/>
      </c>
      <c r="G53" s="30">
        <f>+'Amortization&amp;Depreciation'!G75</f>
        <v/>
      </c>
      <c r="H53" s="30">
        <f>+'Amortization&amp;Depreciation'!H75</f>
        <v/>
      </c>
      <c r="I53" s="30">
        <f>+'Amortization&amp;Depreciation'!I75</f>
        <v/>
      </c>
      <c r="J53" s="30">
        <f>+'Amortization&amp;Depreciation'!J75</f>
        <v/>
      </c>
      <c r="K53" s="30">
        <f>+'Amortization&amp;Depreciation'!K75</f>
        <v/>
      </c>
      <c r="L53" s="30">
        <f>+'Amortization&amp;Depreciation'!L75</f>
        <v/>
      </c>
      <c r="M53" s="30">
        <f>+'Amortization&amp;Depreciation'!M75</f>
        <v/>
      </c>
      <c r="N53" s="30">
        <f>+'Amortization&amp;Depreciation'!N75</f>
        <v/>
      </c>
      <c r="O53" s="36">
        <f>SUM(C53:N53)</f>
        <v/>
      </c>
    </row>
    <row r="54">
      <c r="B54" s="201" t="inlineStr">
        <is>
          <t>Other Bank Debt</t>
        </is>
      </c>
      <c r="C54" s="30">
        <f>+'Amortization&amp;Depreciation'!C95</f>
        <v/>
      </c>
      <c r="D54" s="30">
        <f>+'Amortization&amp;Depreciation'!D95</f>
        <v/>
      </c>
      <c r="E54" s="30">
        <f>+'Amortization&amp;Depreciation'!E95</f>
        <v/>
      </c>
      <c r="F54" s="30">
        <f>+'Amortization&amp;Depreciation'!F95</f>
        <v/>
      </c>
      <c r="G54" s="30">
        <f>+'Amortization&amp;Depreciation'!G95</f>
        <v/>
      </c>
      <c r="H54" s="30">
        <f>+'Amortization&amp;Depreciation'!H95</f>
        <v/>
      </c>
      <c r="I54" s="30">
        <f>+'Amortization&amp;Depreciation'!I95</f>
        <v/>
      </c>
      <c r="J54" s="30">
        <f>+'Amortization&amp;Depreciation'!J95</f>
        <v/>
      </c>
      <c r="K54" s="30">
        <f>+'Amortization&amp;Depreciation'!K95</f>
        <v/>
      </c>
      <c r="L54" s="30">
        <f>+'Amortization&amp;Depreciation'!L95</f>
        <v/>
      </c>
      <c r="M54" s="30">
        <f>+'Amortization&amp;Depreciation'!M95</f>
        <v/>
      </c>
      <c r="N54" s="30">
        <f>+'Amortization&amp;Depreciation'!N95</f>
        <v/>
      </c>
      <c r="O54" s="36">
        <f>SUM(C54:N54)</f>
        <v/>
      </c>
    </row>
    <row r="55">
      <c r="B55" s="201" t="inlineStr">
        <is>
          <t>Line of Credit</t>
        </is>
      </c>
      <c r="C55" s="30">
        <f>'6a-CashFlowYear1'!C26</f>
        <v/>
      </c>
      <c r="D55" s="30">
        <f>+'6a-CashFlowYear1'!D26</f>
        <v/>
      </c>
      <c r="E55" s="30">
        <f>+'6a-CashFlowYear1'!E26</f>
        <v/>
      </c>
      <c r="F55" s="30">
        <f>+'6a-CashFlowYear1'!F26</f>
        <v/>
      </c>
      <c r="G55" s="30">
        <f>+'6a-CashFlowYear1'!G26</f>
        <v/>
      </c>
      <c r="H55" s="30">
        <f>+'6a-CashFlowYear1'!H26</f>
        <v/>
      </c>
      <c r="I55" s="30">
        <f>+'6a-CashFlowYear1'!I26</f>
        <v/>
      </c>
      <c r="J55" s="30">
        <f>+'6a-CashFlowYear1'!J26</f>
        <v/>
      </c>
      <c r="K55" s="30">
        <f>+'6a-CashFlowYear1'!K26</f>
        <v/>
      </c>
      <c r="L55" s="30">
        <f>+'6a-CashFlowYear1'!L26</f>
        <v/>
      </c>
      <c r="M55" s="30">
        <f>+'6a-CashFlowYear1'!M26</f>
        <v/>
      </c>
      <c r="N55" s="30">
        <f>+'6a-CashFlowYear1'!N26</f>
        <v/>
      </c>
      <c r="O55" s="36">
        <f>SUM(C55:N55)</f>
        <v/>
      </c>
    </row>
    <row r="56">
      <c r="B56" s="200" t="inlineStr">
        <is>
          <t>Bad Debt Expense</t>
        </is>
      </c>
      <c r="C56" s="30">
        <f>+'3a-SalesForecastYear1'!C53*'4-AdditionalInputs'!$C$12</f>
        <v/>
      </c>
      <c r="D56" s="30">
        <f>+'3a-SalesForecastYear1'!D53*'4-AdditionalInputs'!$C$12</f>
        <v/>
      </c>
      <c r="E56" s="30">
        <f>+'3a-SalesForecastYear1'!E53*'4-AdditionalInputs'!$C$12</f>
        <v/>
      </c>
      <c r="F56" s="30">
        <f>+'3a-SalesForecastYear1'!F53*'4-AdditionalInputs'!$C$12</f>
        <v/>
      </c>
      <c r="G56" s="30">
        <f>+'3a-SalesForecastYear1'!G53*'4-AdditionalInputs'!$C$12</f>
        <v/>
      </c>
      <c r="H56" s="30">
        <f>+'3a-SalesForecastYear1'!H53*'4-AdditionalInputs'!$C$12</f>
        <v/>
      </c>
      <c r="I56" s="30">
        <f>+'3a-SalesForecastYear1'!I53*'4-AdditionalInputs'!$C$12</f>
        <v/>
      </c>
      <c r="J56" s="30">
        <f>+'3a-SalesForecastYear1'!J53*'4-AdditionalInputs'!$C$12</f>
        <v/>
      </c>
      <c r="K56" s="30">
        <f>+'3a-SalesForecastYear1'!K53*'4-AdditionalInputs'!$C$12</f>
        <v/>
      </c>
      <c r="L56" s="30">
        <f>+'3a-SalesForecastYear1'!L53*'4-AdditionalInputs'!$C$12</f>
        <v/>
      </c>
      <c r="M56" s="30">
        <f>+'3a-SalesForecastYear1'!M53*'4-AdditionalInputs'!$C$12</f>
        <v/>
      </c>
      <c r="N56" s="30">
        <f>+'3a-SalesForecastYear1'!N53*'4-AdditionalInputs'!$C$12</f>
        <v/>
      </c>
      <c r="O56" s="36">
        <f>SUM(C56:N56)</f>
        <v/>
      </c>
    </row>
    <row r="57">
      <c r="B57" s="199" t="inlineStr">
        <is>
          <t>Total Other Expenses</t>
        </is>
      </c>
      <c r="C57" s="30">
        <f>SUM(C47:C56)</f>
        <v/>
      </c>
      <c r="D57" s="30">
        <f>SUM(D47:D56)</f>
        <v/>
      </c>
      <c r="E57" s="30">
        <f>SUM(E47:E56)</f>
        <v/>
      </c>
      <c r="F57" s="30">
        <f>SUM(F47:F56)</f>
        <v/>
      </c>
      <c r="G57" s="30">
        <f>SUM(G47:G56)</f>
        <v/>
      </c>
      <c r="H57" s="30">
        <f>SUM(H47:H56)</f>
        <v/>
      </c>
      <c r="I57" s="30">
        <f>SUM(I47:I56)</f>
        <v/>
      </c>
      <c r="J57" s="30">
        <f>SUM(J47:J56)</f>
        <v/>
      </c>
      <c r="K57" s="30">
        <f>SUM(K47:K56)</f>
        <v/>
      </c>
      <c r="L57" s="30">
        <f>SUM(L47:L56)</f>
        <v/>
      </c>
      <c r="M57" s="30">
        <f>SUM(M47:M56)</f>
        <v/>
      </c>
      <c r="N57" s="30">
        <f>SUM(N47:N56)</f>
        <v/>
      </c>
      <c r="O57" s="36">
        <f>SUM(C57:N57)</f>
        <v/>
      </c>
    </row>
    <row r="58">
      <c r="B58" s="47" t="inlineStr">
        <is>
          <t>Net Income Before Income Tax</t>
        </is>
      </c>
      <c r="C58" s="36">
        <f>C24-C25-C44-C57</f>
        <v/>
      </c>
      <c r="D58" s="36">
        <f>D24-D25-D44-D57</f>
        <v/>
      </c>
      <c r="E58" s="36">
        <f>E24-E25-E44-E57</f>
        <v/>
      </c>
      <c r="F58" s="36">
        <f>F24-F25-F44-F57</f>
        <v/>
      </c>
      <c r="G58" s="36">
        <f>G24-G25-G44-G57</f>
        <v/>
      </c>
      <c r="H58" s="36">
        <f>H24-H25-H44-H57</f>
        <v/>
      </c>
      <c r="I58" s="36">
        <f>I24-I25-I44-I57</f>
        <v/>
      </c>
      <c r="J58" s="36">
        <f>J24-J25-J44-J57</f>
        <v/>
      </c>
      <c r="K58" s="36">
        <f>K24-K25-K44-K57</f>
        <v/>
      </c>
      <c r="L58" s="36">
        <f>L24-L25-L44-L57</f>
        <v/>
      </c>
      <c r="M58" s="36">
        <f>M24-M25-M44-M57</f>
        <v/>
      </c>
      <c r="N58" s="36">
        <f>N24-N25-N44-N57</f>
        <v/>
      </c>
      <c r="O58" s="36">
        <f>SUM(C58:N58)</f>
        <v/>
      </c>
    </row>
    <row r="59">
      <c r="B59" s="26" t="inlineStr">
        <is>
          <t>Income Tax</t>
        </is>
      </c>
      <c r="C59" s="60">
        <f>IF(C65&gt;0,C64*'4-AdditionalInputs'!$C$39,0)</f>
        <v/>
      </c>
      <c r="D59" s="60">
        <f>+IF(D65&gt;0,IF(C65&lt;0,(D64-ABS(C65))*'4-AdditionalInputs'!$C$39,'7a-IncomeStatementYear1'!D64*'4-AdditionalInputs'!$C$39),IF('7a-IncomeStatementYear1'!C65&gt;0,-'7a-IncomeStatementYear1'!C65*'4-AdditionalInputs'!$C$39,0))</f>
        <v/>
      </c>
      <c r="E59" s="60">
        <f>+IF(E65&gt;0,IF(D65&lt;0,(E64-ABS(D65))*'4-AdditionalInputs'!$C$39,'7a-IncomeStatementYear1'!E64*'4-AdditionalInputs'!$C$39),IF('7a-IncomeStatementYear1'!D65&gt;0,-'7a-IncomeStatementYear1'!D65*'4-AdditionalInputs'!$C$39,0))</f>
        <v/>
      </c>
      <c r="F59" s="60">
        <f>+IF(F65&gt;0,IF(E65&lt;0,(F64-ABS(E65))*'4-AdditionalInputs'!$C$39,'7a-IncomeStatementYear1'!F64*'4-AdditionalInputs'!$C$39),IF('7a-IncomeStatementYear1'!E65&gt;0,-'7a-IncomeStatementYear1'!E65*'4-AdditionalInputs'!$C$39,0))</f>
        <v/>
      </c>
      <c r="G59" s="60">
        <f>+IF(G65&gt;0,IF(F65&lt;0,(G64-ABS(F65))*'4-AdditionalInputs'!$C$39,'7a-IncomeStatementYear1'!G64*'4-AdditionalInputs'!$C$39),IF('7a-IncomeStatementYear1'!F65&gt;0,-'7a-IncomeStatementYear1'!F65*'4-AdditionalInputs'!$C$39,0))</f>
        <v/>
      </c>
      <c r="H59" s="60">
        <f>+IF(H65&gt;0,IF(G65&lt;0,(H64-ABS(G65))*'4-AdditionalInputs'!$C$39,'7a-IncomeStatementYear1'!H64*'4-AdditionalInputs'!$C$39),IF('7a-IncomeStatementYear1'!G65&gt;0,-'7a-IncomeStatementYear1'!G65*'4-AdditionalInputs'!$C$39,0))</f>
        <v/>
      </c>
      <c r="I59" s="60">
        <f>+IF(I65&gt;0,IF(H65&lt;0,(I64-ABS(H65))*'4-AdditionalInputs'!$C$39,'7a-IncomeStatementYear1'!I64*'4-AdditionalInputs'!$C$39),IF('7a-IncomeStatementYear1'!H65&gt;0,-'7a-IncomeStatementYear1'!H65*'4-AdditionalInputs'!$C$39,0))</f>
        <v/>
      </c>
      <c r="J59" s="60">
        <f>+IF(J65&gt;0,IF(I65&lt;0,(J64-ABS(I65))*'4-AdditionalInputs'!$C$39,'7a-IncomeStatementYear1'!J64*'4-AdditionalInputs'!$C$39),IF('7a-IncomeStatementYear1'!I65&gt;0,-'7a-IncomeStatementYear1'!I65*'4-AdditionalInputs'!$C$39,0))</f>
        <v/>
      </c>
      <c r="K59" s="60">
        <f>+IF(K65&gt;0,IF(J65&lt;0,(K64-ABS(J65))*'4-AdditionalInputs'!$C$39,'7a-IncomeStatementYear1'!K64*'4-AdditionalInputs'!$C$39),IF('7a-IncomeStatementYear1'!J65&gt;0,-'7a-IncomeStatementYear1'!J65*'4-AdditionalInputs'!$C$39,0))</f>
        <v/>
      </c>
      <c r="L59" s="60">
        <f>+IF(L65&gt;0,IF(K65&lt;0,(L64-ABS(K65))*'4-AdditionalInputs'!$C$39,'7a-IncomeStatementYear1'!L64*'4-AdditionalInputs'!$C$39),IF('7a-IncomeStatementYear1'!K65&gt;0,-'7a-IncomeStatementYear1'!K65*'4-AdditionalInputs'!$C$39,0))</f>
        <v/>
      </c>
      <c r="M59" s="60">
        <f>+IF(M65&gt;0,IF(L65&lt;0,(M64-ABS(L65))*'4-AdditionalInputs'!$C$39,'7a-IncomeStatementYear1'!M64*'4-AdditionalInputs'!$C$39),IF('7a-IncomeStatementYear1'!L65&gt;0,-'7a-IncomeStatementYear1'!L65*'4-AdditionalInputs'!$C$39,0))</f>
        <v/>
      </c>
      <c r="N59" s="60">
        <f>+IF(N65&gt;0,IF(M65&lt;0,(N64-ABS(M65))*'4-AdditionalInputs'!$C$39,'7a-IncomeStatementYear1'!N64*'4-AdditionalInputs'!$C$39),IF('7a-IncomeStatementYear1'!M65&gt;0,-'7a-IncomeStatementYear1'!M65*'4-AdditionalInputs'!$C$39,0))</f>
        <v/>
      </c>
      <c r="O59" s="36">
        <f>SUM(C59:N59)</f>
        <v/>
      </c>
    </row>
    <row r="60">
      <c r="B60" s="26" t="inlineStr">
        <is>
          <t>Net Profit/Loss</t>
        </is>
      </c>
      <c r="C60" s="36">
        <f>C58-C59</f>
        <v/>
      </c>
      <c r="D60" s="36">
        <f>D58-D59</f>
        <v/>
      </c>
      <c r="E60" s="36">
        <f>E58-E59</f>
        <v/>
      </c>
      <c r="F60" s="36">
        <f>F58-F59</f>
        <v/>
      </c>
      <c r="G60" s="36">
        <f>G58-G59</f>
        <v/>
      </c>
      <c r="H60" s="36">
        <f>H58-H59</f>
        <v/>
      </c>
      <c r="I60" s="36">
        <f>I58-I59</f>
        <v/>
      </c>
      <c r="J60" s="36">
        <f>J58-J59</f>
        <v/>
      </c>
      <c r="K60" s="36">
        <f>K58-K59</f>
        <v/>
      </c>
      <c r="L60" s="36">
        <f>L58-L59</f>
        <v/>
      </c>
      <c r="M60" s="36">
        <f>M58-M59</f>
        <v/>
      </c>
      <c r="N60" s="36">
        <f>N58-N59</f>
        <v/>
      </c>
      <c r="O60" s="36">
        <f>SUM(C60:N60)</f>
        <v/>
      </c>
    </row>
    <row r="63">
      <c r="A63" s="444" t="n"/>
      <c r="B63" s="445" t="inlineStr">
        <is>
          <t>Income Tax Calculations</t>
        </is>
      </c>
      <c r="C63" s="446" t="n"/>
      <c r="D63" s="446" t="n"/>
      <c r="E63" s="446" t="n"/>
      <c r="F63" s="446" t="n"/>
      <c r="G63" s="446" t="n"/>
      <c r="H63" s="446" t="n"/>
      <c r="I63" s="446" t="n"/>
      <c r="J63" s="446" t="n"/>
      <c r="K63" s="446" t="n"/>
      <c r="L63" s="446" t="n"/>
      <c r="M63" s="446" t="n"/>
      <c r="N63" s="446" t="n"/>
      <c r="O63" s="444" t="n"/>
    </row>
    <row r="64">
      <c r="A64" s="444" t="n"/>
      <c r="B64" s="446" t="inlineStr">
        <is>
          <t>Monthly Taxable Income</t>
        </is>
      </c>
      <c r="C64" s="447">
        <f>C45-C48-C50-C51-C52-C53-C54-C55-C56</f>
        <v/>
      </c>
      <c r="D64" s="447">
        <f>D45-D48-D50-D51-D52-D53-D54-D55-D56</f>
        <v/>
      </c>
      <c r="E64" s="447">
        <f>E45-E48-E50-E51-E52-E53-E54-E55-E56</f>
        <v/>
      </c>
      <c r="F64" s="447">
        <f>F45-F48-F50-F51-F52-F53-F54-F55-F56</f>
        <v/>
      </c>
      <c r="G64" s="447">
        <f>G45-G48-G50-G51-G52-G53-G54-G55-G56</f>
        <v/>
      </c>
      <c r="H64" s="447">
        <f>H45-H48-H50-H51-H52-H53-H54-H55-H56</f>
        <v/>
      </c>
      <c r="I64" s="447">
        <f>I45-I48-I50-I51-I52-I53-I54-I55-I56</f>
        <v/>
      </c>
      <c r="J64" s="447">
        <f>J45-J48-J50-J51-J52-J53-J54-J55-J56</f>
        <v/>
      </c>
      <c r="K64" s="447">
        <f>K45-K48-K50-K51-K52-K53-K54-K55-K56</f>
        <v/>
      </c>
      <c r="L64" s="447">
        <f>L45-L48-L50-L51-L52-L53-L54-L55-L56</f>
        <v/>
      </c>
      <c r="M64" s="447">
        <f>M45-M48-M50-M51-M52-M53-M54-M55-M56</f>
        <v/>
      </c>
      <c r="N64" s="447">
        <f>N45-N48-N50-N51-N52-N53-N54-N55-N56</f>
        <v/>
      </c>
      <c r="O64" s="444" t="n"/>
    </row>
    <row r="65">
      <c r="A65" s="444" t="n"/>
      <c r="B65" s="446" t="inlineStr">
        <is>
          <t>Cumulative Taxable Income</t>
        </is>
      </c>
      <c r="C65" s="447">
        <f>C64</f>
        <v/>
      </c>
      <c r="D65" s="447">
        <f>C65+D64</f>
        <v/>
      </c>
      <c r="E65" s="447">
        <f>D65+E64</f>
        <v/>
      </c>
      <c r="F65" s="447">
        <f>E65+F64</f>
        <v/>
      </c>
      <c r="G65" s="447">
        <f>F65+G64</f>
        <v/>
      </c>
      <c r="H65" s="447">
        <f>+G65+H64</f>
        <v/>
      </c>
      <c r="I65" s="447">
        <f>+H65+I64</f>
        <v/>
      </c>
      <c r="J65" s="447">
        <f>+I65+J64</f>
        <v/>
      </c>
      <c r="K65" s="447">
        <f>+J65+K64</f>
        <v/>
      </c>
      <c r="L65" s="447">
        <f>+K65+L64</f>
        <v/>
      </c>
      <c r="M65" s="447">
        <f>+L65+M64</f>
        <v/>
      </c>
      <c r="N65" s="447">
        <f>+M65+N64</f>
        <v/>
      </c>
      <c r="O65" s="444" t="n"/>
    </row>
    <row r="66">
      <c r="A66" s="444" t="n"/>
      <c r="B66" s="444" t="n"/>
      <c r="C66" s="444" t="n"/>
      <c r="D66" s="444" t="n"/>
      <c r="E66" s="444" t="n"/>
      <c r="F66" s="444" t="n"/>
      <c r="G66" s="444" t="n"/>
      <c r="H66" s="444" t="n"/>
      <c r="I66" s="444" t="n"/>
      <c r="J66" s="444" t="n"/>
      <c r="K66" s="444" t="n"/>
      <c r="L66" s="444" t="n"/>
      <c r="M66" s="444" t="n"/>
      <c r="N66" s="444" t="n"/>
      <c r="O66" s="444" t="n"/>
    </row>
    <row r="67">
      <c r="A67" s="444" t="n"/>
      <c r="B67" s="444" t="n"/>
      <c r="C67" s="444" t="n"/>
      <c r="D67" s="444" t="n"/>
      <c r="E67" s="444" t="n"/>
      <c r="F67" s="444" t="n"/>
      <c r="G67" s="444" t="n"/>
      <c r="H67" s="444" t="n"/>
      <c r="I67" s="444" t="n"/>
      <c r="J67" s="444" t="n"/>
      <c r="K67" s="444" t="n"/>
      <c r="L67" s="444" t="n"/>
      <c r="M67" s="444" t="n"/>
      <c r="N67" s="444" t="n"/>
      <c r="O67" s="444" t="n"/>
    </row>
  </sheetData>
  <sheetProtection selectLockedCells="0" selectUnlockedCells="0" algorithmName="SHA-512" sheet="1" objects="1" insertRows="1" insertHyperlinks="1" autoFilter="1" scenarios="1" formatColumns="0" deleteColumns="1" insertColumns="1" pivotTables="1" deleteRows="1" formatCells="0" saltValue="j7fGUqBrls9+PlftYwLcWQ==" formatRows="1" sort="1" spinCount="100000" hashValue="plhvkYi/ZG3V6H/C0UZHnEUOZ+PxBL5j9IKuQ66GDWLrKBX1biW4SHNBJe0uv4cCMFoUCQ3yG5qi1rCSFlVL0A=="/>
  <mergeCells count="3">
    <mergeCell ref="B2:C2"/>
    <mergeCell ref="C5:D5"/>
    <mergeCell ref="C4:D4"/>
  </mergeCells>
  <conditionalFormatting sqref="C59:N59">
    <cfRule type="containsBlanks" priority="1" dxfId="24">
      <formula>LEN(TRIM(C59))=0</formula>
    </cfRule>
  </conditionalFormatting>
  <printOptions horizontalCentered="1"/>
  <pageMargins left="0.25" right="0.25" top="0.75" bottom="0.75" header="0.3" footer="0.3"/>
  <pageSetup orientation="landscape" scale="63"/>
  <headerFooter scaleWithDoc="0">
    <oddHeader>&amp;C&amp;"Gill Sans MT,Regular"&amp;12 Income Statement Year 1</oddHeader>
    <oddFooter>&amp;L&amp;F&amp;C&amp;A&amp;R&amp;D &amp;T</oddFooter>
    <evenHeader/>
    <evenFooter/>
    <firstHeader/>
    <firstFooter/>
  </headerFooter>
  <rowBreaks count="1" manualBreakCount="1">
    <brk id="60" min="1" max="14" man="1"/>
  </rowBreaks>
  <legacyDrawing xmlns:r="http://schemas.openxmlformats.org/officeDocument/2006/relationships" r:id="anysvml"/>
</worksheet>
</file>

<file path=xl/worksheets/sheet13.xml><?xml version="1.0" encoding="utf-8"?>
<worksheet xmlns="http://schemas.openxmlformats.org/spreadsheetml/2006/main">
  <sheetPr codeName="Sheet13">
    <tabColor rgb="FFFFC95B"/>
    <outlinePr summaryBelow="1" summaryRight="1"/>
    <pageSetUpPr fitToPage="1"/>
  </sheetPr>
  <dimension ref="A1:W82"/>
  <sheetViews>
    <sheetView topLeftCell="A34" zoomScale="90" zoomScaleNormal="90" zoomScalePageLayoutView="70" workbookViewId="0">
      <selection activeCell="K47" sqref="K47"/>
    </sheetView>
  </sheetViews>
  <sheetFormatPr baseColWidth="8" defaultColWidth="8.83984375" defaultRowHeight="13.5"/>
  <cols>
    <col width="3.83984375" customWidth="1" style="78" min="1" max="1"/>
    <col width="46.68359375" bestFit="1" customWidth="1" style="78" min="2" max="2"/>
    <col width="17.41796875" bestFit="1" customWidth="1" style="78" min="3" max="3"/>
    <col width="9.26171875" customWidth="1" style="202" min="4" max="4"/>
    <col width="13.83984375" bestFit="1" customWidth="1" style="78" min="5" max="5"/>
    <col width="9.26171875" customWidth="1" style="203" min="6" max="6"/>
    <col width="12.41796875" bestFit="1" customWidth="1" style="78" min="7" max="7"/>
    <col width="9.68359375" bestFit="1" customWidth="1" style="202" min="8" max="8"/>
    <col width="9.68359375" bestFit="1" customWidth="1" style="78" min="9" max="11"/>
    <col width="10.15625" bestFit="1" customWidth="1" style="78" min="12" max="14"/>
    <col width="11.578125" bestFit="1" customWidth="1" style="78" min="15" max="15"/>
    <col width="8.83984375" customWidth="1" style="78" min="16" max="16384"/>
  </cols>
  <sheetData>
    <row r="1">
      <c r="I1" s="46" t="n"/>
      <c r="J1" s="46" t="n"/>
    </row>
    <row r="2">
      <c r="B2" s="514" t="inlineStr">
        <is>
          <t>Income Statement Years 1-3</t>
        </is>
      </c>
      <c r="D2" s="204" t="n"/>
      <c r="E2" s="168" t="n"/>
      <c r="F2" s="205" t="n"/>
      <c r="G2" s="168" t="n"/>
      <c r="H2" s="204" t="n"/>
      <c r="I2" s="515" t="n"/>
    </row>
    <row r="3">
      <c r="B3" s="57" t="n"/>
      <c r="C3" s="57" t="n"/>
      <c r="D3" s="204" t="n"/>
      <c r="E3" s="168" t="n"/>
      <c r="F3" s="205" t="n"/>
      <c r="G3" s="168" t="n"/>
      <c r="H3" s="204" t="n"/>
    </row>
    <row r="4" ht="19.5" customHeight="1">
      <c r="B4" s="501" t="inlineStr">
        <is>
          <t>Prepared By:</t>
        </is>
      </c>
      <c r="C4" s="501" t="inlineStr">
        <is>
          <t>Company Name:</t>
        </is>
      </c>
      <c r="D4" s="206" t="n"/>
      <c r="E4" s="501" t="n"/>
      <c r="F4" s="207" t="n"/>
      <c r="G4" s="168" t="n"/>
      <c r="H4" s="206" t="n"/>
      <c r="I4" s="46" t="n"/>
      <c r="J4" s="46" t="n"/>
    </row>
    <row r="5" ht="18.75" customHeight="1">
      <c r="B5" s="502">
        <f>IF(ISBLANK(Directions!C10), "Owner", Directions!C10)</f>
        <v/>
      </c>
      <c r="C5" s="502">
        <f>IF(ISBLANK(Directions!D10), "Company 1", Directions!D10)</f>
        <v/>
      </c>
      <c r="D5" s="208" t="n"/>
      <c r="E5" s="502" t="n"/>
      <c r="F5" s="209" t="n"/>
      <c r="G5" s="168" t="n"/>
      <c r="H5" s="208" t="n"/>
      <c r="I5" s="46" t="n"/>
      <c r="J5" s="46" t="n"/>
    </row>
    <row r="6">
      <c r="I6" s="46" t="n"/>
      <c r="J6" s="46" t="n"/>
    </row>
    <row r="7" ht="13.8" customHeight="1" thickBot="1">
      <c r="B7" s="506" t="inlineStr">
        <is>
          <t>Revenue</t>
        </is>
      </c>
      <c r="C7" s="506">
        <f>IF(Directions!F10&gt;0,Directions!F10,"First Year")</f>
        <v/>
      </c>
      <c r="D7" s="506" t="n"/>
      <c r="E7" s="506">
        <f>IF(Directions!F10&gt;0,Directions!F10+1,"Second Year")</f>
        <v/>
      </c>
      <c r="F7" s="506" t="n"/>
      <c r="G7" s="506">
        <f>IF(Directions!F10&gt;0,Directions!F10+2,"Third Year")</f>
        <v/>
      </c>
      <c r="H7" s="506" t="n"/>
      <c r="I7" s="46" t="n"/>
      <c r="J7" s="46" t="n"/>
    </row>
    <row r="8" ht="13.8" customHeight="1" thickTop="1">
      <c r="B8" s="353">
        <f>'3a-SalesForecastYear1'!B17</f>
        <v/>
      </c>
      <c r="C8" s="435">
        <f>'3b-SalesForecastYrs1-3'!B13</f>
        <v/>
      </c>
      <c r="D8" s="354" t="n"/>
      <c r="E8" s="435">
        <f>'3b-SalesForecastYrs1-3'!O13</f>
        <v/>
      </c>
      <c r="F8" s="355" t="n"/>
      <c r="G8" s="435">
        <f>'3b-SalesForecastYrs1-3'!AD13</f>
        <v/>
      </c>
      <c r="H8" s="354" t="n"/>
      <c r="I8" s="46" t="n"/>
      <c r="J8" s="46" t="n"/>
    </row>
    <row r="9">
      <c r="B9" s="211">
        <f>'3a-SalesForecastYear1'!B23</f>
        <v/>
      </c>
      <c r="C9" s="41">
        <f>'3b-SalesForecastYrs1-3'!B19</f>
        <v/>
      </c>
      <c r="D9" s="222" t="n"/>
      <c r="E9" s="41">
        <f>'3b-SalesForecastYrs1-3'!O19</f>
        <v/>
      </c>
      <c r="F9" s="215" t="n"/>
      <c r="G9" s="41">
        <f>'3b-SalesForecastYrs1-3'!AD19</f>
        <v/>
      </c>
      <c r="H9" s="222" t="n"/>
      <c r="I9" s="46" t="n"/>
      <c r="J9" s="46" t="n"/>
    </row>
    <row r="10">
      <c r="B10" s="195">
        <f>'3a-SalesForecastYear1'!B29</f>
        <v/>
      </c>
      <c r="C10" s="41">
        <f>'3b-SalesForecastYrs1-3'!B25</f>
        <v/>
      </c>
      <c r="D10" s="212" t="n"/>
      <c r="E10" s="41">
        <f>'3b-SalesForecastYrs1-3'!O25</f>
        <v/>
      </c>
      <c r="F10" s="213" t="n"/>
      <c r="G10" s="41">
        <f>'3b-SalesForecastYrs1-3'!AD25</f>
        <v/>
      </c>
      <c r="H10" s="212" t="n"/>
      <c r="I10" s="46" t="n"/>
      <c r="J10" s="46" t="n"/>
    </row>
    <row r="11">
      <c r="B11" s="211">
        <f>'3a-SalesForecastYear1'!B35</f>
        <v/>
      </c>
      <c r="C11" s="41">
        <f>'3b-SalesForecastYrs1-3'!B31</f>
        <v/>
      </c>
      <c r="D11" s="212" t="n"/>
      <c r="E11" s="41">
        <f>'3b-SalesForecastYrs1-3'!O31</f>
        <v/>
      </c>
      <c r="F11" s="213" t="n"/>
      <c r="G11" s="41">
        <f>'3b-SalesForecastYrs1-3'!AD31</f>
        <v/>
      </c>
      <c r="H11" s="212" t="n"/>
      <c r="I11" s="46" t="n"/>
      <c r="J11" s="46" t="n"/>
    </row>
    <row r="12">
      <c r="B12" s="211">
        <f>'3a-SalesForecastYear1'!B41</f>
        <v/>
      </c>
      <c r="C12" s="41">
        <f>'3b-SalesForecastYrs1-3'!B37</f>
        <v/>
      </c>
      <c r="D12" s="212" t="n"/>
      <c r="E12" s="41">
        <f>'3b-SalesForecastYrs1-3'!O37</f>
        <v/>
      </c>
      <c r="F12" s="213" t="n"/>
      <c r="G12" s="41">
        <f>'3b-SalesForecastYrs1-3'!AD37</f>
        <v/>
      </c>
      <c r="H12" s="212" t="n"/>
      <c r="I12" s="46" t="n"/>
      <c r="J12" s="46" t="n"/>
    </row>
    <row r="13">
      <c r="B13" s="211">
        <f>'3a-SalesForecastYear1'!B47</f>
        <v/>
      </c>
      <c r="C13" s="41">
        <f>'3b-SalesForecastYrs1-3'!B43</f>
        <v/>
      </c>
      <c r="D13" s="212" t="n"/>
      <c r="E13" s="41">
        <f>'3b-SalesForecastYrs1-3'!O43</f>
        <v/>
      </c>
      <c r="F13" s="213" t="n"/>
      <c r="G13" s="41">
        <f>'3b-SalesForecastYrs1-3'!AD43</f>
        <v/>
      </c>
      <c r="H13" s="212" t="n"/>
      <c r="I13" s="46" t="n"/>
      <c r="J13" s="46" t="n"/>
    </row>
    <row r="14">
      <c r="B14" s="210" t="inlineStr">
        <is>
          <t>Total Revenue</t>
        </is>
      </c>
      <c r="C14" s="191">
        <f>SUM(C8:C13)</f>
        <v/>
      </c>
      <c r="D14" s="216" t="n">
        <v>1</v>
      </c>
      <c r="E14" s="191">
        <f>SUM(E8:E13)</f>
        <v/>
      </c>
      <c r="F14" s="217" t="n">
        <v>1</v>
      </c>
      <c r="G14" s="191">
        <f>SUM(G8:G13)</f>
        <v/>
      </c>
      <c r="H14" s="216" t="n">
        <v>1</v>
      </c>
      <c r="I14" s="46" t="n"/>
      <c r="J14" s="46" t="n"/>
    </row>
    <row r="15" ht="13.8" customHeight="1" thickBot="1">
      <c r="B15" s="506" t="inlineStr">
        <is>
          <t>Cost of Goods Sold</t>
        </is>
      </c>
      <c r="C15" s="506" t="n"/>
      <c r="D15" s="506" t="n"/>
      <c r="E15" s="506" t="n"/>
      <c r="F15" s="506" t="n"/>
      <c r="G15" s="506" t="n"/>
      <c r="H15" s="506" t="n"/>
      <c r="I15" s="46" t="n"/>
      <c r="J15" s="46" t="n"/>
    </row>
    <row r="16" ht="13.8" customHeight="1" thickTop="1">
      <c r="B16" s="353">
        <f>'3a-SalesForecastYear1'!B17</f>
        <v/>
      </c>
      <c r="C16" s="435">
        <f>'3b-SalesForecastYrs1-3'!B14</f>
        <v/>
      </c>
      <c r="D16" s="354" t="n"/>
      <c r="E16" s="435">
        <f>'3b-SalesForecastYrs1-3'!O14</f>
        <v/>
      </c>
      <c r="F16" s="356" t="n"/>
      <c r="G16" s="435">
        <f>'3b-SalesForecastYrs1-3'!AD14</f>
        <v/>
      </c>
      <c r="H16" s="354" t="n"/>
      <c r="I16" s="46" t="n"/>
      <c r="J16" s="46" t="n"/>
    </row>
    <row r="17">
      <c r="B17" s="211">
        <f>'3a-SalesForecastYear1'!B23</f>
        <v/>
      </c>
      <c r="C17" s="41">
        <f>'3b-SalesForecastYrs1-3'!B20</f>
        <v/>
      </c>
      <c r="D17" s="212" t="n"/>
      <c r="E17" s="41">
        <f>'3b-SalesForecastYrs1-3'!O20</f>
        <v/>
      </c>
      <c r="F17" s="220" t="n"/>
      <c r="G17" s="41">
        <f>'3b-SalesForecastYrs1-3'!AD20</f>
        <v/>
      </c>
      <c r="H17" s="212" t="n"/>
      <c r="I17" s="46" t="n"/>
      <c r="J17" s="46" t="n"/>
    </row>
    <row r="18">
      <c r="B18" s="195">
        <f>'3a-SalesForecastYear1'!B29</f>
        <v/>
      </c>
      <c r="C18" s="41">
        <f>'3b-SalesForecastYrs1-3'!B26</f>
        <v/>
      </c>
      <c r="D18" s="212" t="n"/>
      <c r="E18" s="41">
        <f>'3b-SalesForecastYrs1-3'!O26</f>
        <v/>
      </c>
      <c r="F18" s="220" t="n"/>
      <c r="G18" s="41">
        <f>'3b-SalesForecastYrs1-3'!AD26</f>
        <v/>
      </c>
      <c r="H18" s="212" t="n"/>
      <c r="I18" s="46" t="n"/>
      <c r="J18" s="46" t="n"/>
    </row>
    <row r="19">
      <c r="B19" s="211">
        <f>'3a-SalesForecastYear1'!B35</f>
        <v/>
      </c>
      <c r="C19" s="41">
        <f>'3b-SalesForecastYrs1-3'!B32</f>
        <v/>
      </c>
      <c r="D19" s="212" t="n"/>
      <c r="E19" s="41">
        <f>'3b-SalesForecastYrs1-3'!O32</f>
        <v/>
      </c>
      <c r="F19" s="220" t="n"/>
      <c r="G19" s="41">
        <f>'3b-SalesForecastYrs1-3'!AD32</f>
        <v/>
      </c>
      <c r="H19" s="212" t="n"/>
      <c r="I19" s="46" t="n"/>
      <c r="J19" s="46" t="n"/>
    </row>
    <row r="20">
      <c r="B20" s="211">
        <f>'3a-SalesForecastYear1'!B41</f>
        <v/>
      </c>
      <c r="C20" s="41">
        <f>'3b-SalesForecastYrs1-3'!B38</f>
        <v/>
      </c>
      <c r="D20" s="212" t="n"/>
      <c r="E20" s="41">
        <f>'3b-SalesForecastYrs1-3'!O38</f>
        <v/>
      </c>
      <c r="F20" s="220" t="n"/>
      <c r="G20" s="41">
        <f>'3b-SalesForecastYrs1-3'!AD38</f>
        <v/>
      </c>
      <c r="H20" s="212" t="n"/>
      <c r="I20" s="46" t="n"/>
      <c r="J20" s="46" t="n"/>
    </row>
    <row r="21">
      <c r="B21" s="211">
        <f>'3a-SalesForecastYear1'!B47</f>
        <v/>
      </c>
      <c r="C21" s="41">
        <f>'3b-SalesForecastYrs1-3'!B44</f>
        <v/>
      </c>
      <c r="D21" s="212" t="n"/>
      <c r="E21" s="41">
        <f>'3b-SalesForecastYrs1-3'!O44</f>
        <v/>
      </c>
      <c r="F21" s="220" t="n"/>
      <c r="G21" s="41">
        <f>'3b-SalesForecastYrs1-3'!AD44</f>
        <v/>
      </c>
      <c r="H21" s="212" t="n"/>
      <c r="I21" s="46" t="n"/>
      <c r="J21" s="46" t="n"/>
    </row>
    <row r="22">
      <c r="B22" s="210" t="inlineStr">
        <is>
          <t>Total Cost of Goods Sold</t>
        </is>
      </c>
      <c r="C22" s="316">
        <f>SUM(C16:C21)</f>
        <v/>
      </c>
      <c r="D22" s="221">
        <f>IF(C14=0,0,C22/C14)</f>
        <v/>
      </c>
      <c r="E22" s="316">
        <f>SUM(E16:E21)</f>
        <v/>
      </c>
      <c r="F22" s="221">
        <f>IF(E14=0,0,E22/E14)</f>
        <v/>
      </c>
      <c r="G22" s="316">
        <f>SUM(G16:G21)</f>
        <v/>
      </c>
      <c r="H22" s="221">
        <f>IF(G14=0,0,G22/G14)</f>
        <v/>
      </c>
      <c r="I22" s="46" t="n"/>
      <c r="J22" s="46" t="n"/>
    </row>
    <row r="23">
      <c r="B23" s="210" t="inlineStr">
        <is>
          <t>Gross Margin</t>
        </is>
      </c>
      <c r="C23" s="30">
        <f>C14-C22</f>
        <v/>
      </c>
      <c r="D23" s="221">
        <f>IF(C14=0,0,C23/C14)</f>
        <v/>
      </c>
      <c r="E23" s="30">
        <f>E14-E22</f>
        <v/>
      </c>
      <c r="F23" s="221">
        <f>IF(E14=0,0,E23/E14)</f>
        <v/>
      </c>
      <c r="G23" s="30">
        <f>G14-G22</f>
        <v/>
      </c>
      <c r="H23" s="221">
        <f>IF(G14=0,0,G23/G14)</f>
        <v/>
      </c>
      <c r="I23" s="46" t="n"/>
      <c r="J23" s="46" t="n"/>
    </row>
    <row r="24">
      <c r="B24" s="210" t="inlineStr">
        <is>
          <t>Payroll</t>
        </is>
      </c>
      <c r="C24" s="30">
        <f>'2a-PayrollYear1'!R25</f>
        <v/>
      </c>
      <c r="D24" s="221" t="n"/>
      <c r="E24" s="30">
        <f>'2b-PayrollYrs1-3'!E26</f>
        <v/>
      </c>
      <c r="F24" s="220" t="n"/>
      <c r="G24" s="30">
        <f>'2b-PayrollYrs1-3'!G26</f>
        <v/>
      </c>
      <c r="H24" s="212" t="n"/>
      <c r="I24" s="46" t="n"/>
      <c r="J24" s="46" t="n"/>
    </row>
    <row r="25" ht="13.8" customHeight="1" thickBot="1">
      <c r="B25" s="506" t="inlineStr">
        <is>
          <t>Operating Expenses</t>
        </is>
      </c>
      <c r="C25" s="506" t="n"/>
      <c r="D25" s="506" t="n"/>
      <c r="E25" s="506" t="n"/>
      <c r="F25" s="506" t="n"/>
      <c r="G25" s="506" t="n"/>
      <c r="H25" s="506" t="n"/>
      <c r="I25" s="46" t="n"/>
      <c r="J25" s="46" t="n"/>
    </row>
    <row r="26" ht="13.8" customFormat="1" customHeight="1" s="5" thickTop="1">
      <c r="B26" s="467">
        <f>'5a-OpExYear1'!B10</f>
        <v/>
      </c>
      <c r="C26" s="358">
        <f>'5b-OpExYrs1-3'!C8</f>
        <v/>
      </c>
      <c r="D26" s="360" t="n"/>
      <c r="E26" s="358">
        <f>'5b-OpExYrs1-3'!E8</f>
        <v/>
      </c>
      <c r="F26" s="359" t="n"/>
      <c r="G26" s="358">
        <f>'5b-OpExYrs1-3'!G8</f>
        <v/>
      </c>
      <c r="H26" s="360" t="n"/>
    </row>
    <row r="27" customFormat="1" s="5">
      <c r="B27" s="467">
        <f>'5a-OpExYear1'!B11</f>
        <v/>
      </c>
      <c r="C27" s="186">
        <f>'5b-OpExYrs1-3'!C9</f>
        <v/>
      </c>
      <c r="D27" s="222" t="n"/>
      <c r="E27" s="186">
        <f>'5b-OpExYrs1-3'!E9</f>
        <v/>
      </c>
      <c r="F27" s="219" t="n"/>
      <c r="G27" s="186">
        <f>'5b-OpExYrs1-3'!G9</f>
        <v/>
      </c>
      <c r="H27" s="222" t="n"/>
    </row>
    <row r="28" customFormat="1" s="5">
      <c r="B28" s="467">
        <f>'5a-OpExYear1'!B12</f>
        <v/>
      </c>
      <c r="C28" s="186">
        <f>'5b-OpExYrs1-3'!C10</f>
        <v/>
      </c>
      <c r="D28" s="222" t="n"/>
      <c r="E28" s="186">
        <f>'5b-OpExYrs1-3'!E10</f>
        <v/>
      </c>
      <c r="F28" s="219" t="n"/>
      <c r="G28" s="186">
        <f>'5b-OpExYrs1-3'!G10</f>
        <v/>
      </c>
      <c r="H28" s="222" t="n"/>
    </row>
    <row r="29" customFormat="1" s="5">
      <c r="B29" s="467">
        <f>'5a-OpExYear1'!B13</f>
        <v/>
      </c>
      <c r="C29" s="186">
        <f>'5b-OpExYrs1-3'!C11</f>
        <v/>
      </c>
      <c r="D29" s="222" t="n"/>
      <c r="E29" s="186">
        <f>'5b-OpExYrs1-3'!E11</f>
        <v/>
      </c>
      <c r="F29" s="219" t="n"/>
      <c r="G29" s="186">
        <f>'5b-OpExYrs1-3'!G11</f>
        <v/>
      </c>
      <c r="H29" s="222" t="n"/>
    </row>
    <row r="30" customFormat="1" s="5">
      <c r="B30" s="467">
        <f>'5a-OpExYear1'!B14</f>
        <v/>
      </c>
      <c r="C30" s="186">
        <f>'5b-OpExYrs1-3'!C12</f>
        <v/>
      </c>
      <c r="D30" s="222" t="n"/>
      <c r="E30" s="186">
        <f>'5b-OpExYrs1-3'!E12</f>
        <v/>
      </c>
      <c r="F30" s="219" t="n"/>
      <c r="G30" s="186">
        <f>'5b-OpExYrs1-3'!G12</f>
        <v/>
      </c>
      <c r="H30" s="222" t="n"/>
    </row>
    <row r="31">
      <c r="B31" s="467">
        <f>'5a-OpExYear1'!B15</f>
        <v/>
      </c>
      <c r="C31" s="186">
        <f>'5b-OpExYrs1-3'!C13</f>
        <v/>
      </c>
      <c r="D31" s="222" t="n"/>
      <c r="E31" s="186">
        <f>'5b-OpExYrs1-3'!E13</f>
        <v/>
      </c>
      <c r="F31" s="219" t="n"/>
      <c r="G31" s="186">
        <f>'5b-OpExYrs1-3'!G13</f>
        <v/>
      </c>
      <c r="H31" s="222" t="n"/>
      <c r="I31" s="46" t="n"/>
      <c r="J31" s="46" t="n"/>
    </row>
    <row r="32">
      <c r="B32" s="467">
        <f>'5a-OpExYear1'!B16</f>
        <v/>
      </c>
      <c r="C32" s="186">
        <f>'5b-OpExYrs1-3'!C14</f>
        <v/>
      </c>
      <c r="D32" s="222" t="n"/>
      <c r="E32" s="186">
        <f>'5b-OpExYrs1-3'!E14</f>
        <v/>
      </c>
      <c r="F32" s="219" t="n"/>
      <c r="G32" s="186">
        <f>'5b-OpExYrs1-3'!G14</f>
        <v/>
      </c>
      <c r="H32" s="222" t="n"/>
      <c r="I32" s="46" t="n"/>
      <c r="J32" s="46" t="n"/>
    </row>
    <row r="33">
      <c r="B33" s="467">
        <f>'5a-OpExYear1'!B17</f>
        <v/>
      </c>
      <c r="C33" s="186">
        <f>'5b-OpExYrs1-3'!C15</f>
        <v/>
      </c>
      <c r="D33" s="222" t="n"/>
      <c r="E33" s="186">
        <f>'5b-OpExYrs1-3'!E15</f>
        <v/>
      </c>
      <c r="F33" s="219" t="n"/>
      <c r="G33" s="186">
        <f>'5b-OpExYrs1-3'!G15</f>
        <v/>
      </c>
      <c r="H33" s="222" t="n"/>
      <c r="I33" s="46" t="n"/>
      <c r="J33" s="46" t="n"/>
    </row>
    <row r="34">
      <c r="B34" s="467">
        <f>'5a-OpExYear1'!B18</f>
        <v/>
      </c>
      <c r="C34" s="186">
        <f>'5b-OpExYrs1-3'!C16</f>
        <v/>
      </c>
      <c r="D34" s="222" t="n"/>
      <c r="E34" s="186">
        <f>'5b-OpExYrs1-3'!E16</f>
        <v/>
      </c>
      <c r="F34" s="219" t="n"/>
      <c r="G34" s="186">
        <f>'5b-OpExYrs1-3'!G16</f>
        <v/>
      </c>
      <c r="H34" s="222" t="n"/>
      <c r="I34" s="46" t="n"/>
      <c r="J34" s="46" t="n"/>
    </row>
    <row r="35">
      <c r="B35" s="467">
        <f>'5a-OpExYear1'!B19</f>
        <v/>
      </c>
      <c r="C35" s="186">
        <f>'5b-OpExYrs1-3'!C17</f>
        <v/>
      </c>
      <c r="D35" s="222" t="n"/>
      <c r="E35" s="186">
        <f>'5b-OpExYrs1-3'!E17</f>
        <v/>
      </c>
      <c r="F35" s="219" t="n"/>
      <c r="G35" s="186">
        <f>'5b-OpExYrs1-3'!G17</f>
        <v/>
      </c>
      <c r="H35" s="222" t="n"/>
      <c r="I35" s="46" t="n"/>
      <c r="J35" s="46" t="n"/>
    </row>
    <row r="36">
      <c r="B36" s="467">
        <f>'5a-OpExYear1'!B20</f>
        <v/>
      </c>
      <c r="C36" s="186">
        <f>'5b-OpExYrs1-3'!C18</f>
        <v/>
      </c>
      <c r="D36" s="222" t="n"/>
      <c r="E36" s="186">
        <f>'5b-OpExYrs1-3'!E18</f>
        <v/>
      </c>
      <c r="F36" s="219" t="n"/>
      <c r="G36" s="186">
        <f>'5b-OpExYrs1-3'!G18</f>
        <v/>
      </c>
      <c r="H36" s="222" t="n"/>
      <c r="I36" s="46" t="n"/>
      <c r="J36" s="46" t="n"/>
    </row>
    <row r="37">
      <c r="B37" s="467">
        <f>'5a-OpExYear1'!B21</f>
        <v/>
      </c>
      <c r="C37" s="186">
        <f>'5b-OpExYrs1-3'!C19</f>
        <v/>
      </c>
      <c r="D37" s="222" t="n"/>
      <c r="E37" s="186">
        <f>'5b-OpExYrs1-3'!E19</f>
        <v/>
      </c>
      <c r="F37" s="219" t="n"/>
      <c r="G37" s="186">
        <f>'5b-OpExYrs1-3'!G19</f>
        <v/>
      </c>
      <c r="H37" s="222" t="n"/>
      <c r="I37" s="46" t="n"/>
      <c r="J37" s="46" t="n"/>
    </row>
    <row r="38">
      <c r="B38" s="467">
        <f>'5a-OpExYear1'!B22</f>
        <v/>
      </c>
      <c r="C38" s="186">
        <f>'5b-OpExYrs1-3'!C20</f>
        <v/>
      </c>
      <c r="D38" s="222" t="n"/>
      <c r="E38" s="186">
        <f>'5b-OpExYrs1-3'!E20</f>
        <v/>
      </c>
      <c r="F38" s="219" t="n"/>
      <c r="G38" s="186">
        <f>'5b-OpExYrs1-3'!G20</f>
        <v/>
      </c>
      <c r="H38" s="222" t="n"/>
      <c r="I38" s="46" t="n"/>
      <c r="J38" s="46" t="n"/>
    </row>
    <row r="39">
      <c r="B39" s="467">
        <f>'5a-OpExYear1'!B23</f>
        <v/>
      </c>
      <c r="C39" s="186">
        <f>'5b-OpExYrs1-3'!C21</f>
        <v/>
      </c>
      <c r="D39" s="222" t="n"/>
      <c r="E39" s="186">
        <f>'5b-OpExYrs1-3'!E21</f>
        <v/>
      </c>
      <c r="F39" s="219" t="n"/>
      <c r="G39" s="186">
        <f>'5b-OpExYrs1-3'!G21</f>
        <v/>
      </c>
      <c r="H39" s="222" t="n"/>
      <c r="I39" s="46" t="n"/>
      <c r="J39" s="46" t="n"/>
    </row>
    <row r="40">
      <c r="B40" s="467">
        <f>'5a-OpExYear1'!B24</f>
        <v/>
      </c>
      <c r="C40" s="186">
        <f>'5b-OpExYrs1-3'!C22</f>
        <v/>
      </c>
      <c r="D40" s="222" t="n"/>
      <c r="E40" s="186">
        <f>'5b-OpExYrs1-3'!E22</f>
        <v/>
      </c>
      <c r="F40" s="219" t="n"/>
      <c r="G40" s="186">
        <f>'5b-OpExYrs1-3'!G22</f>
        <v/>
      </c>
      <c r="H40" s="222" t="n"/>
      <c r="I40" s="46" t="n"/>
      <c r="J40" s="46" t="n"/>
    </row>
    <row r="41">
      <c r="B41" s="320" t="inlineStr">
        <is>
          <t>Other Expense 1</t>
        </is>
      </c>
      <c r="C41" s="186" t="n"/>
      <c r="D41" s="222" t="n"/>
      <c r="E41" s="186" t="n"/>
      <c r="F41" s="219" t="n"/>
      <c r="G41" s="186" t="n"/>
      <c r="H41" s="222" t="n"/>
      <c r="I41" s="46" t="n"/>
      <c r="J41" s="46" t="n"/>
    </row>
    <row r="42">
      <c r="B42" s="320" t="inlineStr">
        <is>
          <t>Other Expense 2</t>
        </is>
      </c>
      <c r="C42" s="186" t="n"/>
      <c r="D42" s="222" t="n"/>
      <c r="E42" s="186" t="n"/>
      <c r="F42" s="219" t="n"/>
      <c r="G42" s="186" t="n"/>
      <c r="H42" s="222" t="n"/>
      <c r="I42" s="46" t="n"/>
      <c r="J42" s="46" t="n"/>
    </row>
    <row r="43" ht="18" customHeight="1">
      <c r="B43" s="361" t="inlineStr">
        <is>
          <t>Total Operating Expenses</t>
        </is>
      </c>
      <c r="C43" s="362">
        <f>SUM(C26:C42)</f>
        <v/>
      </c>
      <c r="D43" s="363">
        <f>IF(C14=0,0,C43/C14)</f>
        <v/>
      </c>
      <c r="E43" s="362">
        <f>SUM(E26:E42)</f>
        <v/>
      </c>
      <c r="F43" s="363">
        <f>IF(E14=0,0,E43/E14)</f>
        <v/>
      </c>
      <c r="G43" s="362">
        <f>SUM(G26:G42)</f>
        <v/>
      </c>
      <c r="H43" s="363">
        <f>IF(G14=0,0,G43/G14)</f>
        <v/>
      </c>
    </row>
    <row r="44" ht="18" customHeight="1">
      <c r="B44" s="364" t="inlineStr">
        <is>
          <t>Income (Before Other Expenses)</t>
        </is>
      </c>
      <c r="C44" s="365">
        <f>C23-C24-C43</f>
        <v/>
      </c>
      <c r="D44" s="366">
        <f>IF(C14=0,0,C44/C14)</f>
        <v/>
      </c>
      <c r="E44" s="365">
        <f>E23-E24-E43</f>
        <v/>
      </c>
      <c r="F44" s="366">
        <f>IF(E14=0,0,E44/E14)</f>
        <v/>
      </c>
      <c r="G44" s="365">
        <f>G23-G24-G43</f>
        <v/>
      </c>
      <c r="H44" s="366">
        <f>IF(G14=0,0,G44/G14)</f>
        <v/>
      </c>
    </row>
    <row r="45" ht="18" customHeight="1" thickBot="1">
      <c r="B45" s="368" t="inlineStr">
        <is>
          <t>Other Expenses</t>
        </is>
      </c>
      <c r="C45" s="369" t="n"/>
      <c r="D45" s="370" t="n"/>
      <c r="E45" s="369" t="n"/>
      <c r="F45" s="371" t="n"/>
      <c r="G45" s="369" t="n"/>
      <c r="H45" s="370" t="n"/>
    </row>
    <row r="46" ht="18" customHeight="1" thickTop="1">
      <c r="B46" s="367" t="inlineStr">
        <is>
          <t>Amortized Start-up Expenses</t>
        </is>
      </c>
      <c r="C46" s="343">
        <f>+'Amortization&amp;Depreciation'!O138+'Amortization&amp;Depreciation'!O149</f>
        <v/>
      </c>
      <c r="D46" s="354" t="n"/>
      <c r="E46" s="343">
        <f>+'Amortization&amp;Depreciation'!O141+'Amortization&amp;Depreciation'!O152</f>
        <v/>
      </c>
      <c r="F46" s="356" t="n"/>
      <c r="G46" s="343">
        <f>+'Amortization&amp;Depreciation'!O144+'Amortization&amp;Depreciation'!O155</f>
        <v/>
      </c>
      <c r="H46" s="354" t="n"/>
    </row>
    <row r="47" ht="18" customHeight="1">
      <c r="B47" s="224" t="inlineStr">
        <is>
          <t>Depreciation</t>
        </is>
      </c>
      <c r="C47" s="30">
        <f>+'Amortization&amp;Depreciation'!O119</f>
        <v/>
      </c>
      <c r="D47" s="212" t="n"/>
      <c r="E47" s="30">
        <f>+'Amortization&amp;Depreciation'!O123</f>
        <v/>
      </c>
      <c r="F47" s="220" t="n"/>
      <c r="G47" s="30">
        <f>+'Amortization&amp;Depreciation'!O127</f>
        <v/>
      </c>
      <c r="H47" s="212" t="n"/>
    </row>
    <row r="48" ht="18" customHeight="1">
      <c r="B48" s="224" t="inlineStr">
        <is>
          <t>Interest</t>
        </is>
      </c>
      <c r="C48" s="223" t="n"/>
      <c r="D48" s="212" t="n"/>
      <c r="E48" s="223" t="n"/>
      <c r="F48" s="220" t="n"/>
      <c r="G48" s="223" t="n"/>
      <c r="H48" s="212" t="n"/>
    </row>
    <row r="49" ht="18" customHeight="1">
      <c r="B49" s="225" t="inlineStr">
        <is>
          <t>Commercial Loan</t>
        </is>
      </c>
      <c r="C49" s="30">
        <f>'5b-OpExYrs1-3'!C28</f>
        <v/>
      </c>
      <c r="D49" s="212" t="n"/>
      <c r="E49" s="30">
        <f>'5b-OpExYrs1-3'!E28</f>
        <v/>
      </c>
      <c r="F49" s="220" t="n"/>
      <c r="G49" s="30">
        <f>'5b-OpExYrs1-3'!G28</f>
        <v/>
      </c>
      <c r="H49" s="212" t="n"/>
    </row>
    <row r="50" ht="18" customHeight="1">
      <c r="B50" s="225" t="inlineStr">
        <is>
          <t>Commercial Mortgage</t>
        </is>
      </c>
      <c r="C50" s="30">
        <f>'5b-OpExYrs1-3'!C29</f>
        <v/>
      </c>
      <c r="D50" s="212" t="n"/>
      <c r="E50" s="30">
        <f>'5b-OpExYrs1-3'!E29</f>
        <v/>
      </c>
      <c r="F50" s="220" t="n"/>
      <c r="G50" s="30">
        <f>'5b-OpExYrs1-3'!G29</f>
        <v/>
      </c>
      <c r="H50" s="212" t="n"/>
    </row>
    <row r="51" ht="18" customHeight="1">
      <c r="B51" s="225" t="inlineStr">
        <is>
          <t>Credit Card Debt</t>
        </is>
      </c>
      <c r="C51" s="30">
        <f>'5b-OpExYrs1-3'!C30</f>
        <v/>
      </c>
      <c r="D51" s="212" t="n"/>
      <c r="E51" s="30">
        <f>'5b-OpExYrs1-3'!E30</f>
        <v/>
      </c>
      <c r="F51" s="220" t="n"/>
      <c r="G51" s="30">
        <f>'5b-OpExYrs1-3'!G30</f>
        <v/>
      </c>
      <c r="H51" s="212" t="n"/>
    </row>
    <row r="52" ht="18" customHeight="1">
      <c r="B52" s="225" t="inlineStr">
        <is>
          <t>Vehicle Loans</t>
        </is>
      </c>
      <c r="C52" s="30">
        <f>'5b-OpExYrs1-3'!C31</f>
        <v/>
      </c>
      <c r="D52" s="212" t="n"/>
      <c r="E52" s="30">
        <f>'5b-OpExYrs1-3'!E31</f>
        <v/>
      </c>
      <c r="F52" s="220" t="n"/>
      <c r="G52" s="30">
        <f>'5b-OpExYrs1-3'!G31</f>
        <v/>
      </c>
      <c r="H52" s="212" t="n"/>
    </row>
    <row r="53" ht="18" customHeight="1">
      <c r="B53" s="225" t="inlineStr">
        <is>
          <t>Other Bank Debt</t>
        </is>
      </c>
      <c r="C53" s="30">
        <f>'5b-OpExYrs1-3'!C32</f>
        <v/>
      </c>
      <c r="D53" s="212" t="n"/>
      <c r="E53" s="30">
        <f>'5b-OpExYrs1-3'!E32</f>
        <v/>
      </c>
      <c r="F53" s="220" t="n"/>
      <c r="G53" s="30">
        <f>'5b-OpExYrs1-3'!G32</f>
        <v/>
      </c>
      <c r="H53" s="212" t="n"/>
    </row>
    <row r="54" ht="18" customHeight="1">
      <c r="B54" s="187" t="inlineStr">
        <is>
          <t>Line of Credit</t>
        </is>
      </c>
      <c r="C54" s="30">
        <f>+'6a-CashFlowYear1'!O26</f>
        <v/>
      </c>
      <c r="D54" s="212" t="n"/>
      <c r="E54" s="30">
        <f>'6b-CashFlowYrs1-3'!O25</f>
        <v/>
      </c>
      <c r="F54" s="220" t="n"/>
      <c r="G54" s="30">
        <f>+'6b-CashFlowYrs1-3'!AB25</f>
        <v/>
      </c>
      <c r="H54" s="212" t="n"/>
    </row>
    <row r="55" ht="18" customHeight="1">
      <c r="B55" s="184" t="inlineStr">
        <is>
          <t>Bad Debt Expense</t>
        </is>
      </c>
      <c r="C55" s="30">
        <f>+'3a-SalesForecastYear1'!O53*'4-AdditionalInputs'!$C$12</f>
        <v/>
      </c>
      <c r="D55" s="212" t="n"/>
      <c r="E55" s="30">
        <f>'3b-SalesForecastYrs1-3'!O47*'4-AdditionalInputs'!$D$12</f>
        <v/>
      </c>
      <c r="F55" s="220" t="n"/>
      <c r="G55" s="30">
        <f>'3b-SalesForecastYrs1-3'!AD47*'4-AdditionalInputs'!$E$12</f>
        <v/>
      </c>
      <c r="H55" s="212" t="n"/>
    </row>
    <row r="56" ht="18" customHeight="1">
      <c r="B56" s="210" t="inlineStr">
        <is>
          <t>Total Other Expenses</t>
        </is>
      </c>
      <c r="C56" s="36">
        <f>SUM(C46:C55)</f>
        <v/>
      </c>
      <c r="D56" s="221">
        <f>IF(C14=0,0,C56/C14)</f>
        <v/>
      </c>
      <c r="E56" s="36">
        <f>SUM(E46:E55)</f>
        <v/>
      </c>
      <c r="F56" s="221">
        <f>IF(E14=0,0,E56/E14)</f>
        <v/>
      </c>
      <c r="G56" s="36">
        <f>SUM(G46:G55)</f>
        <v/>
      </c>
      <c r="H56" s="221">
        <f>IF(G14=0,0,G56/G14)</f>
        <v/>
      </c>
    </row>
    <row r="57" ht="18" customHeight="1">
      <c r="B57" s="47" t="inlineStr">
        <is>
          <t>Net Income Before Income Tax</t>
        </is>
      </c>
      <c r="C57" s="36">
        <f>C23-C24-C43-C56</f>
        <v/>
      </c>
      <c r="D57" s="221">
        <f>IF(C14=0,0,C57/C14)</f>
        <v/>
      </c>
      <c r="E57" s="36">
        <f>E23-E24-E43-E56</f>
        <v/>
      </c>
      <c r="F57" s="221">
        <f>IF(E14=0,0,E57/E14)</f>
        <v/>
      </c>
      <c r="G57" s="36">
        <f>G23-G24-G43-G56</f>
        <v/>
      </c>
      <c r="H57" s="221">
        <f>IF(G14=0,0,G57/G14)</f>
        <v/>
      </c>
    </row>
    <row r="58">
      <c r="B58" s="26" t="inlineStr">
        <is>
          <t>Income Tax</t>
        </is>
      </c>
      <c r="C58" s="60">
        <f>+'7a-IncomeStatementYear1'!O59</f>
        <v/>
      </c>
      <c r="D58" s="221" t="n"/>
      <c r="E58" s="60">
        <f>O65</f>
        <v/>
      </c>
      <c r="F58" s="221" t="n"/>
      <c r="G58" s="60">
        <f>O69</f>
        <v/>
      </c>
      <c r="H58" s="221" t="n"/>
    </row>
    <row r="59">
      <c r="B59" s="210" t="inlineStr">
        <is>
          <t>Net Income/Loss</t>
        </is>
      </c>
      <c r="C59" s="36">
        <f>C57-C58</f>
        <v/>
      </c>
      <c r="D59" s="221">
        <f>IF(C14=0,0,C59/C14)</f>
        <v/>
      </c>
      <c r="E59" s="36">
        <f>E57-E58</f>
        <v/>
      </c>
      <c r="F59" s="221">
        <f>IF(E14=0,0,E59/E14)</f>
        <v/>
      </c>
      <c r="G59" s="36">
        <f>G57-G58</f>
        <v/>
      </c>
      <c r="H59" s="221">
        <f>IF(G14=0,0,G59/G14)</f>
        <v/>
      </c>
    </row>
    <row r="60">
      <c r="Q60" s="5" t="n"/>
    </row>
    <row r="61">
      <c r="A61" s="444" t="n"/>
      <c r="B61" s="444" t="n"/>
      <c r="C61" s="444" t="n"/>
      <c r="D61" s="453" t="n"/>
      <c r="E61" s="444" t="n"/>
      <c r="F61" s="454" t="n"/>
      <c r="G61" s="444" t="n"/>
      <c r="H61" s="453" t="n"/>
      <c r="I61" s="444" t="n"/>
      <c r="J61" s="444" t="n"/>
      <c r="K61" s="444" t="n"/>
      <c r="L61" s="444" t="n"/>
      <c r="M61" s="444" t="n"/>
      <c r="N61" s="444" t="n"/>
      <c r="O61" s="444" t="n"/>
      <c r="P61" s="444" t="n"/>
      <c r="Q61" s="5" t="n"/>
    </row>
    <row r="62">
      <c r="A62" s="444" t="n"/>
      <c r="B62" s="455" t="inlineStr">
        <is>
          <t>Income Tax Calculations</t>
        </is>
      </c>
      <c r="C62" s="455" t="inlineStr">
        <is>
          <t>Month 1</t>
        </is>
      </c>
      <c r="D62" s="456" t="inlineStr">
        <is>
          <t>Month 2</t>
        </is>
      </c>
      <c r="E62" s="455" t="inlineStr">
        <is>
          <t>Month 3</t>
        </is>
      </c>
      <c r="F62" s="456" t="inlineStr">
        <is>
          <t>Month 4</t>
        </is>
      </c>
      <c r="G62" s="455" t="inlineStr">
        <is>
          <t>Month 5</t>
        </is>
      </c>
      <c r="H62" s="456" t="inlineStr">
        <is>
          <t>Month 6</t>
        </is>
      </c>
      <c r="I62" s="455" t="inlineStr">
        <is>
          <t>Month 7</t>
        </is>
      </c>
      <c r="J62" s="456" t="inlineStr">
        <is>
          <t>Month 8</t>
        </is>
      </c>
      <c r="K62" s="455" t="inlineStr">
        <is>
          <t>Month 9</t>
        </is>
      </c>
      <c r="L62" s="456" t="inlineStr">
        <is>
          <t>Month 10</t>
        </is>
      </c>
      <c r="M62" s="455" t="inlineStr">
        <is>
          <t>Month 11</t>
        </is>
      </c>
      <c r="N62" s="456" t="inlineStr">
        <is>
          <t>Month 12</t>
        </is>
      </c>
      <c r="O62" s="455" t="inlineStr">
        <is>
          <t>Total</t>
        </is>
      </c>
      <c r="P62" s="444" t="n"/>
      <c r="Q62" s="5" t="n"/>
    </row>
    <row r="63">
      <c r="A63" s="444" t="n"/>
      <c r="B63" s="446" t="inlineStr">
        <is>
          <t>Taxable Amount Year 2</t>
        </is>
      </c>
      <c r="C63" s="447">
        <f>'3b-SalesForecastYrs1-3'!C49-('2b-PayrollYrs1-3'!$E$26/12)-'6b-CashFlowYrs1-3'!C19-'Amortization&amp;Depreciation'!C123-'Amortization&amp;Depreciation'!C19-'Amortization&amp;Depreciation'!C39-'Amortization&amp;Depreciation'!C59-'Amortization&amp;Depreciation'!C79-'Amortization&amp;Depreciation'!C99-'6b-CashFlowYrs1-3'!C25-$E$55/12</f>
        <v/>
      </c>
      <c r="D63" s="447">
        <f>'3b-SalesForecastYrs1-3'!D49-('2b-PayrollYrs1-3'!$E$26/12)-'6b-CashFlowYrs1-3'!D19-'Amortization&amp;Depreciation'!D123-'Amortization&amp;Depreciation'!D19-'Amortization&amp;Depreciation'!D39-'Amortization&amp;Depreciation'!D59-'Amortization&amp;Depreciation'!D79-'Amortization&amp;Depreciation'!D99-'6b-CashFlowYrs1-3'!D25-$E$55/12</f>
        <v/>
      </c>
      <c r="E63" s="447">
        <f>'3b-SalesForecastYrs1-3'!E49-('2b-PayrollYrs1-3'!$E$26/12)-'6b-CashFlowYrs1-3'!E19-'Amortization&amp;Depreciation'!E123-'Amortization&amp;Depreciation'!E19-'Amortization&amp;Depreciation'!E39-'Amortization&amp;Depreciation'!E59-'Amortization&amp;Depreciation'!E79-'Amortization&amp;Depreciation'!E99-'6b-CashFlowYrs1-3'!E25-$E$55/12</f>
        <v/>
      </c>
      <c r="F63" s="447">
        <f>'3b-SalesForecastYrs1-3'!F49-('2b-PayrollYrs1-3'!$E$26/12)-'6b-CashFlowYrs1-3'!F19-'Amortization&amp;Depreciation'!F123-'Amortization&amp;Depreciation'!F19-'Amortization&amp;Depreciation'!F39-'Amortization&amp;Depreciation'!F59-'Amortization&amp;Depreciation'!F79-'Amortization&amp;Depreciation'!F99-'6b-CashFlowYrs1-3'!F25-$E$55/12</f>
        <v/>
      </c>
      <c r="G63" s="447">
        <f>'3b-SalesForecastYrs1-3'!G49-('2b-PayrollYrs1-3'!$E$26/12)-'6b-CashFlowYrs1-3'!G19-'Amortization&amp;Depreciation'!G123-'Amortization&amp;Depreciation'!G19-'Amortization&amp;Depreciation'!G39-'Amortization&amp;Depreciation'!G59-'Amortization&amp;Depreciation'!G79-'Amortization&amp;Depreciation'!G99-'6b-CashFlowYrs1-3'!G25-$E$55/12</f>
        <v/>
      </c>
      <c r="H63" s="447">
        <f>'3b-SalesForecastYrs1-3'!H49-('2b-PayrollYrs1-3'!$E$26/12)-'6b-CashFlowYrs1-3'!H19-'Amortization&amp;Depreciation'!H123-'Amortization&amp;Depreciation'!H19-'Amortization&amp;Depreciation'!H39-'Amortization&amp;Depreciation'!H59-'Amortization&amp;Depreciation'!H79-'Amortization&amp;Depreciation'!H99-'6b-CashFlowYrs1-3'!H25-$E$55/12</f>
        <v/>
      </c>
      <c r="I63" s="447">
        <f>'3b-SalesForecastYrs1-3'!I49-('2b-PayrollYrs1-3'!$E$26/12)-'6b-CashFlowYrs1-3'!I19-'Amortization&amp;Depreciation'!I123-'Amortization&amp;Depreciation'!I19-'Amortization&amp;Depreciation'!I39-'Amortization&amp;Depreciation'!I59-'Amortization&amp;Depreciation'!I79-'Amortization&amp;Depreciation'!I99-'6b-CashFlowYrs1-3'!I25-$E$55/12</f>
        <v/>
      </c>
      <c r="J63" s="447">
        <f>'3b-SalesForecastYrs1-3'!J49-('2b-PayrollYrs1-3'!$E$26/12)-'6b-CashFlowYrs1-3'!J19-'Amortization&amp;Depreciation'!J123-'Amortization&amp;Depreciation'!J19-'Amortization&amp;Depreciation'!J39-'Amortization&amp;Depreciation'!J59-'Amortization&amp;Depreciation'!J79-'Amortization&amp;Depreciation'!J99-'6b-CashFlowYrs1-3'!J25-$E$55/12</f>
        <v/>
      </c>
      <c r="K63" s="447">
        <f>'3b-SalesForecastYrs1-3'!K49-('2b-PayrollYrs1-3'!$E$26/12)-'6b-CashFlowYrs1-3'!K19-'Amortization&amp;Depreciation'!K123-'Amortization&amp;Depreciation'!K19-'Amortization&amp;Depreciation'!K39-'Amortization&amp;Depreciation'!K59-'Amortization&amp;Depreciation'!K79-'Amortization&amp;Depreciation'!K99-'6b-CashFlowYrs1-3'!K25-$E$55/12</f>
        <v/>
      </c>
      <c r="L63" s="447">
        <f>'3b-SalesForecastYrs1-3'!L49-('2b-PayrollYrs1-3'!$E$26/12)-'6b-CashFlowYrs1-3'!L19-'Amortization&amp;Depreciation'!L123-'Amortization&amp;Depreciation'!L19-'Amortization&amp;Depreciation'!L39-'Amortization&amp;Depreciation'!L59-'Amortization&amp;Depreciation'!L79-'Amortization&amp;Depreciation'!L99-'6b-CashFlowYrs1-3'!L25-$E$55/12</f>
        <v/>
      </c>
      <c r="M63" s="447">
        <f>'3b-SalesForecastYrs1-3'!M49-('2b-PayrollYrs1-3'!$E$26/12)-'6b-CashFlowYrs1-3'!M19-'Amortization&amp;Depreciation'!M123-'Amortization&amp;Depreciation'!M19-'Amortization&amp;Depreciation'!M39-'Amortization&amp;Depreciation'!M59-'Amortization&amp;Depreciation'!M79-'Amortization&amp;Depreciation'!M99-'6b-CashFlowYrs1-3'!M25-$E$55/12</f>
        <v/>
      </c>
      <c r="N63" s="447">
        <f>'3b-SalesForecastYrs1-3'!N49-('2b-PayrollYrs1-3'!$E$26/12)-'6b-CashFlowYrs1-3'!N19-'Amortization&amp;Depreciation'!N123-'Amortization&amp;Depreciation'!N19-'Amortization&amp;Depreciation'!N39-'Amortization&amp;Depreciation'!N59-'Amortization&amp;Depreciation'!N79-'Amortization&amp;Depreciation'!N99-'6b-CashFlowYrs1-3'!N25-$E$55/12</f>
        <v/>
      </c>
      <c r="O63" s="447">
        <f>SUM(C63:N63)</f>
        <v/>
      </c>
      <c r="P63" s="444" t="n"/>
      <c r="Q63" s="5" t="n"/>
    </row>
    <row r="64">
      <c r="A64" s="444" t="n"/>
      <c r="B64" s="446" t="inlineStr">
        <is>
          <t>Total</t>
        </is>
      </c>
      <c r="C64" s="447">
        <f>C63</f>
        <v/>
      </c>
      <c r="D64" s="447">
        <f>D63+C64</f>
        <v/>
      </c>
      <c r="E64" s="447">
        <f>E63+D64</f>
        <v/>
      </c>
      <c r="F64" s="447">
        <f>F63+E64</f>
        <v/>
      </c>
      <c r="G64" s="447">
        <f>G63+F64</f>
        <v/>
      </c>
      <c r="H64" s="447">
        <f>H63+G64</f>
        <v/>
      </c>
      <c r="I64" s="447">
        <f>I63+H64</f>
        <v/>
      </c>
      <c r="J64" s="447">
        <f>J63+I64</f>
        <v/>
      </c>
      <c r="K64" s="447">
        <f>K63+J64</f>
        <v/>
      </c>
      <c r="L64" s="447">
        <f>L63+K64</f>
        <v/>
      </c>
      <c r="M64" s="447">
        <f>M63+L64</f>
        <v/>
      </c>
      <c r="N64" s="447">
        <f>N63+M64</f>
        <v/>
      </c>
      <c r="O64" s="447">
        <f>SUM(C64:N64)</f>
        <v/>
      </c>
      <c r="P64" s="444" t="n"/>
      <c r="Q64" s="5" t="n"/>
    </row>
    <row r="65">
      <c r="A65" s="444" t="n"/>
      <c r="B65" s="446" t="inlineStr">
        <is>
          <t>Income Taxes</t>
        </is>
      </c>
      <c r="C65" s="447">
        <f>IF(C64&gt;0,C63*'4-AdditionalInputs'!$C$40, 0)</f>
        <v/>
      </c>
      <c r="D65" s="457">
        <f>IF(D64&gt;0,IF(C64&lt;0,(D63-ABS(C64))*'4-AdditionalInputs'!$C$40,D63*'4-AdditionalInputs'!$C$40),IF(C64&gt;0,-(C64*'4-AdditionalInputs'!$C$40),0))</f>
        <v/>
      </c>
      <c r="E65" s="457">
        <f>IF(E64&gt;0,IF(D64&lt;0,(E63-ABS(D64))*'4-AdditionalInputs'!$C$40,E63*'4-AdditionalInputs'!$C$40),IF(D64&gt;0,-(D64*'4-AdditionalInputs'!$C$40),0))</f>
        <v/>
      </c>
      <c r="F65" s="457">
        <f>IF(F64&gt;0,IF(E64&lt;0,(F63-ABS(E64))*'4-AdditionalInputs'!$C$40,F63*'4-AdditionalInputs'!$C$40),IF(E64&gt;0,-(E64*'4-AdditionalInputs'!$C$40),0))</f>
        <v/>
      </c>
      <c r="G65" s="457">
        <f>IF(G64&gt;0,IF(F64&lt;0,(G63-ABS(F64))*'4-AdditionalInputs'!$C$40,G63*'4-AdditionalInputs'!$C$40),IF(F64&gt;0,-(F64*'4-AdditionalInputs'!$C$40),0))</f>
        <v/>
      </c>
      <c r="H65" s="457">
        <f>IF(H64&gt;0,IF(G64&lt;0,(H63-ABS(G64))*'4-AdditionalInputs'!$C$40,H63*'4-AdditionalInputs'!$C$40),IF(G64&gt;0,-(G64*'4-AdditionalInputs'!$C$40),0))</f>
        <v/>
      </c>
      <c r="I65" s="457">
        <f>IF(I64&gt;0,IF(H64&lt;0,(I63-ABS(H64))*'4-AdditionalInputs'!$C$40,I63*'4-AdditionalInputs'!$C$40),IF(H64&gt;0,-(H64*'4-AdditionalInputs'!$C$40),0))</f>
        <v/>
      </c>
      <c r="J65" s="457">
        <f>IF(J64&gt;0,IF(I64&lt;0,(J63-ABS(I64))*'4-AdditionalInputs'!$C$40,J63*'4-AdditionalInputs'!$C$40),IF(I64&gt;0,-(I64*'4-AdditionalInputs'!$C$40),0))</f>
        <v/>
      </c>
      <c r="K65" s="457">
        <f>IF(K64&gt;0,IF(J64&lt;0,(K63-ABS(J64))*'4-AdditionalInputs'!$C$40,K63*'4-AdditionalInputs'!$C$40),IF(J64&gt;0,-(J64*'4-AdditionalInputs'!$C$40),0))</f>
        <v/>
      </c>
      <c r="L65" s="457">
        <f>IF(L64&gt;0,IF(K64&lt;0,(L63-ABS(K64))*'4-AdditionalInputs'!$C$40,L63*'4-AdditionalInputs'!$C$40),IF(K64&gt;0,-(K64*'4-AdditionalInputs'!$C$40),0))</f>
        <v/>
      </c>
      <c r="M65" s="457">
        <f>IF(M64&gt;0,IF(L64&lt;0,(M63-ABS(L64))*'4-AdditionalInputs'!$C$40,M63*'4-AdditionalInputs'!$C$40),IF(L64&gt;0,-(L64*'4-AdditionalInputs'!$C$40),0))</f>
        <v/>
      </c>
      <c r="N65" s="457">
        <f>IF(N64&gt;0,IF(M64&lt;0,(N63-ABS(M64))*'4-AdditionalInputs'!$C$40,N63*'4-AdditionalInputs'!$C$40),IF(M64&gt;0,-(M64*'4-AdditionalInputs'!$C$40),0))</f>
        <v/>
      </c>
      <c r="O65" s="457">
        <f>SUM(C65:N65)</f>
        <v/>
      </c>
      <c r="P65" s="444" t="n"/>
      <c r="Q65" s="5" t="n"/>
    </row>
    <row r="66">
      <c r="A66" s="444" t="n"/>
      <c r="B66" s="444" t="n"/>
      <c r="C66" s="444" t="n"/>
      <c r="D66" s="453" t="n"/>
      <c r="E66" s="444" t="n"/>
      <c r="F66" s="454" t="n"/>
      <c r="G66" s="444" t="n"/>
      <c r="H66" s="453" t="n"/>
      <c r="I66" s="444" t="n"/>
      <c r="J66" s="444" t="n"/>
      <c r="K66" s="444" t="n"/>
      <c r="L66" s="444" t="n"/>
      <c r="M66" s="444" t="n"/>
      <c r="N66" s="444" t="n"/>
      <c r="O66" s="444" t="n"/>
      <c r="P66" s="444" t="n"/>
      <c r="Q66" s="5" t="n"/>
      <c r="R66" s="5" t="n"/>
      <c r="S66" s="5" t="n"/>
    </row>
    <row r="67">
      <c r="A67" s="444" t="n"/>
      <c r="B67" s="446" t="inlineStr">
        <is>
          <t>Taxable Amount Year 3</t>
        </is>
      </c>
      <c r="C67" s="447">
        <f>('3b-SalesForecastYrs1-3'!R49-('2b-PayrollYrs1-3'!$G$26/12)-'6b-CashFlowYrs1-3'!P19)-'Amortization&amp;Depreciation'!C127-'Amortization&amp;Depreciation'!C23-'Amortization&amp;Depreciation'!C43-'Amortization&amp;Depreciation'!C63-'Amortization&amp;Depreciation'!C83-'Amortization&amp;Depreciation'!C103-'6b-CashFlowYrs1-3'!P25-$G$55/12</f>
        <v/>
      </c>
      <c r="D67" s="447">
        <f>('3b-SalesForecastYrs1-3'!S49-('2b-PayrollYrs1-3'!$G$26/12)-'6b-CashFlowYrs1-3'!Q19)-'Amortization&amp;Depreciation'!D127-'Amortization&amp;Depreciation'!D23-'Amortization&amp;Depreciation'!D43-'Amortization&amp;Depreciation'!D63-'Amortization&amp;Depreciation'!D83-'Amortization&amp;Depreciation'!D103-'6b-CashFlowYrs1-3'!Q25-$G$55/12</f>
        <v/>
      </c>
      <c r="E67" s="447">
        <f>('3b-SalesForecastYrs1-3'!T49-('2b-PayrollYrs1-3'!$G$26/12)-'6b-CashFlowYrs1-3'!R19)-'Amortization&amp;Depreciation'!E127-'Amortization&amp;Depreciation'!E23-'Amortization&amp;Depreciation'!E43-'Amortization&amp;Depreciation'!E63-'Amortization&amp;Depreciation'!E83-'Amortization&amp;Depreciation'!E103-'6b-CashFlowYrs1-3'!R25-$G$55/12</f>
        <v/>
      </c>
      <c r="F67" s="447">
        <f>('3b-SalesForecastYrs1-3'!U49-('2b-PayrollYrs1-3'!$G$26/12)-'6b-CashFlowYrs1-3'!S19)-'Amortization&amp;Depreciation'!F127-'Amortization&amp;Depreciation'!F23-'Amortization&amp;Depreciation'!F43-'Amortization&amp;Depreciation'!F63-'Amortization&amp;Depreciation'!F83-'Amortization&amp;Depreciation'!F103-'6b-CashFlowYrs1-3'!S25-$G$55/12</f>
        <v/>
      </c>
      <c r="G67" s="447">
        <f>('3b-SalesForecastYrs1-3'!V49-('2b-PayrollYrs1-3'!$G$26/12)-'6b-CashFlowYrs1-3'!T19)-'Amortization&amp;Depreciation'!G127-'Amortization&amp;Depreciation'!G23-'Amortization&amp;Depreciation'!G43-'Amortization&amp;Depreciation'!G63-'Amortization&amp;Depreciation'!G83-'Amortization&amp;Depreciation'!G103-'6b-CashFlowYrs1-3'!T25-$G$55/12</f>
        <v/>
      </c>
      <c r="H67" s="447">
        <f>('3b-SalesForecastYrs1-3'!W49-('2b-PayrollYrs1-3'!$G$26/12)-'6b-CashFlowYrs1-3'!U19)-'Amortization&amp;Depreciation'!H127-'Amortization&amp;Depreciation'!H23-'Amortization&amp;Depreciation'!H43-'Amortization&amp;Depreciation'!H63-'Amortization&amp;Depreciation'!H83-'Amortization&amp;Depreciation'!H103-'6b-CashFlowYrs1-3'!U25-$G$55/12</f>
        <v/>
      </c>
      <c r="I67" s="447">
        <f>('3b-SalesForecastYrs1-3'!X49-('2b-PayrollYrs1-3'!$G$26/12)-'6b-CashFlowYrs1-3'!V19)-'Amortization&amp;Depreciation'!I127-'Amortization&amp;Depreciation'!I23-'Amortization&amp;Depreciation'!I43-'Amortization&amp;Depreciation'!I63-'Amortization&amp;Depreciation'!I83-'Amortization&amp;Depreciation'!I103-'6b-CashFlowYrs1-3'!V25-$G$55/12</f>
        <v/>
      </c>
      <c r="J67" s="447">
        <f>('3b-SalesForecastYrs1-3'!Y49-('2b-PayrollYrs1-3'!$G$26/12)-'6b-CashFlowYrs1-3'!W19)-'Amortization&amp;Depreciation'!J127-'Amortization&amp;Depreciation'!J23-'Amortization&amp;Depreciation'!J43-'Amortization&amp;Depreciation'!J63-'Amortization&amp;Depreciation'!J83-'Amortization&amp;Depreciation'!J103-'6b-CashFlowYrs1-3'!W25-$G$55/12</f>
        <v/>
      </c>
      <c r="K67" s="447">
        <f>('3b-SalesForecastYrs1-3'!Z49-('2b-PayrollYrs1-3'!$G$26/12)-'6b-CashFlowYrs1-3'!X19)-'Amortization&amp;Depreciation'!K127-'Amortization&amp;Depreciation'!K23-'Amortization&amp;Depreciation'!K43-'Amortization&amp;Depreciation'!K63-'Amortization&amp;Depreciation'!K83-'Amortization&amp;Depreciation'!K103-'6b-CashFlowYrs1-3'!X25-$G$55/12</f>
        <v/>
      </c>
      <c r="L67" s="447">
        <f>('3b-SalesForecastYrs1-3'!AA49-('2b-PayrollYrs1-3'!$G$26/12)-'6b-CashFlowYrs1-3'!Y19)-'Amortization&amp;Depreciation'!L127-'Amortization&amp;Depreciation'!L23-'Amortization&amp;Depreciation'!L43-'Amortization&amp;Depreciation'!L63-'Amortization&amp;Depreciation'!L83-'Amortization&amp;Depreciation'!L103-'6b-CashFlowYrs1-3'!Y25-$G$55/12</f>
        <v/>
      </c>
      <c r="M67" s="447">
        <f>('3b-SalesForecastYrs1-3'!AB49-('2b-PayrollYrs1-3'!$G$26/12)-'6b-CashFlowYrs1-3'!Z19)-'Amortization&amp;Depreciation'!M127-'Amortization&amp;Depreciation'!M23-'Amortization&amp;Depreciation'!M43-'Amortization&amp;Depreciation'!M63-'Amortization&amp;Depreciation'!M83-'Amortization&amp;Depreciation'!M103-'6b-CashFlowYrs1-3'!Z25-$G$55/12</f>
        <v/>
      </c>
      <c r="N67" s="447">
        <f>('3b-SalesForecastYrs1-3'!AC49-('2b-PayrollYrs1-3'!$G$26/12)-'6b-CashFlowYrs1-3'!AA19)-'Amortization&amp;Depreciation'!N127-'Amortization&amp;Depreciation'!N23-'Amortization&amp;Depreciation'!N43-'Amortization&amp;Depreciation'!N63-'Amortization&amp;Depreciation'!N83-'Amortization&amp;Depreciation'!N103-'6b-CashFlowYrs1-3'!AA25-$G$55/12</f>
        <v/>
      </c>
      <c r="O67" s="447">
        <f>SUM(C67:N67)</f>
        <v/>
      </c>
      <c r="P67" s="444" t="n"/>
      <c r="Q67" s="5" t="n"/>
      <c r="R67" s="5" t="n"/>
      <c r="S67" s="5" t="n"/>
    </row>
    <row r="68">
      <c r="A68" s="444" t="n"/>
      <c r="B68" s="446" t="inlineStr">
        <is>
          <t>Total</t>
        </is>
      </c>
      <c r="C68" s="447">
        <f>C67</f>
        <v/>
      </c>
      <c r="D68" s="447">
        <f>D67+C68</f>
        <v/>
      </c>
      <c r="E68" s="447">
        <f>E67+D68</f>
        <v/>
      </c>
      <c r="F68" s="447">
        <f>F67+E68</f>
        <v/>
      </c>
      <c r="G68" s="447">
        <f>G67+F68</f>
        <v/>
      </c>
      <c r="H68" s="447">
        <f>H67+G68</f>
        <v/>
      </c>
      <c r="I68" s="447">
        <f>I67+H68</f>
        <v/>
      </c>
      <c r="J68" s="447">
        <f>J67+I68</f>
        <v/>
      </c>
      <c r="K68" s="447">
        <f>K67+J68</f>
        <v/>
      </c>
      <c r="L68" s="447">
        <f>L67+K68</f>
        <v/>
      </c>
      <c r="M68" s="447">
        <f>M67+L68</f>
        <v/>
      </c>
      <c r="N68" s="447">
        <f>N67+M68</f>
        <v/>
      </c>
      <c r="O68" s="447">
        <f>SUM(C68:N68)</f>
        <v/>
      </c>
      <c r="P68" s="444" t="n"/>
      <c r="Q68" s="5" t="n"/>
      <c r="R68" s="5" t="n"/>
      <c r="S68" s="5" t="n"/>
    </row>
    <row r="69">
      <c r="A69" s="444" t="n"/>
      <c r="B69" s="446" t="inlineStr">
        <is>
          <t>Income Taxes</t>
        </is>
      </c>
      <c r="C69" s="447">
        <f>IF(C68&gt;0,C67*'4-AdditionalInputs'!$C$41, 0)</f>
        <v/>
      </c>
      <c r="D69" s="457">
        <f>IF(D68&gt;0,IF(C68&lt;0,(D67-ABS(C68))*'4-AdditionalInputs'!$C$41,D67*'4-AdditionalInputs'!$C$41),IF(C68&gt;0,C68*'4-AdditionalInputs'!$C$41,0))</f>
        <v/>
      </c>
      <c r="E69" s="457">
        <f>IF(E68&gt;0,IF(D68&lt;0,(E67-ABS(D68))*'4-AdditionalInputs'!$C$41,E67*'4-AdditionalInputs'!$C$41),IF(D68&gt;0,D68*'4-AdditionalInputs'!$C$41,0))</f>
        <v/>
      </c>
      <c r="F69" s="457">
        <f>IF(F68&gt;0,IF(E68&lt;0,(F67-ABS(E68))*'4-AdditionalInputs'!$C$41,F67*'4-AdditionalInputs'!$C$41),IF(E68&gt;0,E68*'4-AdditionalInputs'!$C$41,0))</f>
        <v/>
      </c>
      <c r="G69" s="457">
        <f>IF(G68&gt;0,IF(F68&lt;0,(G67-ABS(F68))*'4-AdditionalInputs'!$C$41,G67*'4-AdditionalInputs'!$C$41),IF(F68&gt;0,F68*'4-AdditionalInputs'!$C$41,0))</f>
        <v/>
      </c>
      <c r="H69" s="457">
        <f>IF(H68&gt;0,IF(G68&lt;0,(H67-ABS(G68))*'4-AdditionalInputs'!$C$41,H67*'4-AdditionalInputs'!$C$41),IF(G68&gt;0,G68*'4-AdditionalInputs'!$C$41,0))</f>
        <v/>
      </c>
      <c r="I69" s="457">
        <f>IF(I68&gt;0,IF(H68&lt;0,(I67-ABS(H68))*'4-AdditionalInputs'!$C$41,I67*'4-AdditionalInputs'!$C$41),IF(H68&gt;0,H68*'4-AdditionalInputs'!$C$41,0))</f>
        <v/>
      </c>
      <c r="J69" s="457">
        <f>IF(J68&gt;0,IF(I68&lt;0,(J67-ABS(I68))*'4-AdditionalInputs'!$C$41,J67*'4-AdditionalInputs'!$C$41),IF(I68&gt;0,I68*'4-AdditionalInputs'!$C$41,0))</f>
        <v/>
      </c>
      <c r="K69" s="457">
        <f>IF(K68&gt;0,IF(J68&lt;0,(K67-ABS(J68))*'4-AdditionalInputs'!$C$41,K67*'4-AdditionalInputs'!$C$41),IF(J68&gt;0,J68*'4-AdditionalInputs'!$C$41,0))</f>
        <v/>
      </c>
      <c r="L69" s="457">
        <f>IF(L68&gt;0,IF(K68&lt;0,(L67-ABS(K68))*'4-AdditionalInputs'!$C$41,L67*'4-AdditionalInputs'!$C$41),IF(K68&gt;0,K68*'4-AdditionalInputs'!$C$41,0))</f>
        <v/>
      </c>
      <c r="M69" s="457">
        <f>IF(M68&gt;0,IF(L68&lt;0,(M67-ABS(L68))*'4-AdditionalInputs'!$C$41,M67*'4-AdditionalInputs'!$C$41),IF(L68&gt;0,L68*'4-AdditionalInputs'!$C$41,0))</f>
        <v/>
      </c>
      <c r="N69" s="457">
        <f>IF(N68&gt;0,IF(M68&lt;0,(N67-ABS(M68))*'4-AdditionalInputs'!$C$41,N67*'4-AdditionalInputs'!$C$41),IF(M68&gt;0,M68*'4-AdditionalInputs'!$C$41,0))</f>
        <v/>
      </c>
      <c r="O69" s="447">
        <f>SUM(C69:N69)</f>
        <v/>
      </c>
      <c r="P69" s="444" t="n"/>
      <c r="Q69" s="5" t="n"/>
      <c r="R69" s="5" t="n"/>
      <c r="S69" s="5" t="n"/>
    </row>
    <row r="70">
      <c r="A70" s="444" t="n"/>
      <c r="B70" s="444" t="n"/>
      <c r="C70" s="458" t="n"/>
      <c r="D70" s="458" t="n"/>
      <c r="E70" s="458" t="n"/>
      <c r="F70" s="458" t="n"/>
      <c r="G70" s="458" t="n"/>
      <c r="H70" s="458" t="n"/>
      <c r="I70" s="458" t="n"/>
      <c r="J70" s="458" t="n"/>
      <c r="K70" s="458" t="n"/>
      <c r="L70" s="458" t="n"/>
      <c r="M70" s="458" t="n"/>
      <c r="N70" s="458" t="n"/>
      <c r="O70" s="458" t="n"/>
      <c r="P70" s="444" t="n"/>
      <c r="Q70" s="5" t="n"/>
      <c r="R70" s="5" t="n"/>
      <c r="S70" s="5" t="n"/>
    </row>
    <row r="71">
      <c r="A71" s="444" t="n"/>
      <c r="B71" s="444" t="n"/>
      <c r="C71" s="458" t="n"/>
      <c r="D71" s="458" t="n"/>
      <c r="E71" s="458" t="n"/>
      <c r="F71" s="458" t="n"/>
      <c r="G71" s="458" t="n"/>
      <c r="H71" s="458" t="n"/>
      <c r="I71" s="458" t="n"/>
      <c r="J71" s="458" t="n"/>
      <c r="K71" s="458" t="n"/>
      <c r="L71" s="458" t="n"/>
      <c r="M71" s="458" t="n"/>
      <c r="N71" s="458" t="n"/>
      <c r="O71" s="458" t="n"/>
      <c r="P71" s="444" t="n"/>
      <c r="Q71" s="5" t="n"/>
      <c r="R71" s="5" t="n"/>
      <c r="S71" s="5" t="n"/>
    </row>
    <row r="72">
      <c r="A72" s="444" t="n"/>
      <c r="B72" s="444" t="n"/>
      <c r="C72" s="458" t="n"/>
      <c r="D72" s="458" t="n"/>
      <c r="E72" s="458" t="n"/>
      <c r="F72" s="458" t="n"/>
      <c r="G72" s="458" t="n"/>
      <c r="H72" s="458" t="n"/>
      <c r="I72" s="458" t="n"/>
      <c r="J72" s="458" t="n"/>
      <c r="K72" s="458" t="n"/>
      <c r="L72" s="458" t="n"/>
      <c r="M72" s="458" t="n"/>
      <c r="N72" s="458" t="n"/>
      <c r="O72" s="458" t="n"/>
      <c r="P72" s="444" t="n"/>
      <c r="Q72" s="5" t="n"/>
      <c r="R72" s="5" t="n"/>
      <c r="S72" s="5" t="n"/>
    </row>
    <row r="73">
      <c r="A73" s="5" t="n"/>
      <c r="B73" s="444" t="n"/>
      <c r="C73" s="458" t="n"/>
      <c r="D73" s="459" t="n"/>
      <c r="E73" s="458" t="n"/>
      <c r="F73" s="458" t="n"/>
      <c r="G73" s="458" t="n"/>
      <c r="H73" s="458" t="n"/>
      <c r="I73" s="458" t="n"/>
      <c r="J73" s="458" t="n"/>
      <c r="K73" s="458" t="n"/>
      <c r="L73" s="458" t="n"/>
      <c r="M73" s="458" t="n"/>
      <c r="N73" s="458" t="n"/>
      <c r="O73" s="458" t="n"/>
      <c r="P73" s="444" t="n"/>
      <c r="Q73" s="5" t="n"/>
      <c r="R73" s="5" t="n"/>
      <c r="S73" s="5" t="n"/>
      <c r="T73" s="5" t="n"/>
      <c r="U73" s="5" t="n"/>
      <c r="V73" s="5" t="n"/>
      <c r="W73" s="5" t="n"/>
    </row>
    <row r="74">
      <c r="A74" s="5" t="n"/>
      <c r="B74" s="9" t="n"/>
      <c r="C74" s="9" t="n"/>
      <c r="D74" s="283" t="n"/>
      <c r="E74" s="9" t="n"/>
      <c r="F74" s="284" t="n"/>
      <c r="G74" s="9" t="n"/>
      <c r="H74" s="283" t="n"/>
      <c r="I74" s="9" t="n"/>
      <c r="J74" s="9" t="n"/>
      <c r="K74" s="9" t="n"/>
      <c r="L74" s="9" t="n"/>
      <c r="M74" s="9" t="n"/>
      <c r="N74" s="9" t="n"/>
      <c r="O74" s="9" t="n"/>
      <c r="P74" s="5" t="n"/>
      <c r="Q74" s="5" t="n"/>
      <c r="R74" s="5" t="n"/>
      <c r="S74" s="5" t="n"/>
      <c r="T74" s="5" t="n"/>
      <c r="U74" s="5" t="n"/>
      <c r="V74" s="5" t="n"/>
      <c r="W74" s="5" t="n"/>
    </row>
    <row r="75">
      <c r="A75" s="5" t="n"/>
      <c r="B75" s="5" t="n"/>
      <c r="C75" s="285" t="n"/>
      <c r="D75" s="285" t="n"/>
      <c r="E75" s="285" t="n"/>
      <c r="F75" s="285" t="n"/>
      <c r="G75" s="285" t="n"/>
      <c r="H75" s="285" t="n"/>
      <c r="I75" s="285" t="n"/>
      <c r="J75" s="285" t="n"/>
      <c r="K75" s="285" t="n"/>
      <c r="L75" s="285" t="n"/>
      <c r="M75" s="285" t="n"/>
      <c r="N75" s="285" t="n"/>
      <c r="O75" s="285" t="n"/>
      <c r="P75" s="5" t="n"/>
      <c r="Q75" s="5" t="n"/>
      <c r="R75" s="5" t="n"/>
      <c r="S75" s="5" t="n"/>
      <c r="T75" s="5" t="n"/>
      <c r="U75" s="5" t="n"/>
      <c r="V75" s="5" t="n"/>
      <c r="W75" s="5" t="n"/>
    </row>
    <row r="76">
      <c r="A76" s="5" t="n"/>
      <c r="B76" s="5" t="n"/>
      <c r="C76" s="261" t="n"/>
      <c r="D76" s="261" t="n"/>
      <c r="E76" s="261" t="n"/>
      <c r="F76" s="261" t="n"/>
      <c r="G76" s="261" t="n"/>
      <c r="H76" s="261" t="n"/>
      <c r="I76" s="261" t="n"/>
      <c r="J76" s="261" t="n"/>
      <c r="K76" s="261" t="n"/>
      <c r="L76" s="261" t="n"/>
      <c r="M76" s="261" t="n"/>
      <c r="N76" s="261" t="n"/>
      <c r="O76" s="261" t="n"/>
      <c r="P76" s="5" t="n"/>
      <c r="Q76" s="5" t="n"/>
      <c r="R76" s="5" t="n"/>
      <c r="S76" s="5" t="n"/>
      <c r="T76" s="5" t="n"/>
      <c r="U76" s="5" t="n"/>
      <c r="V76" s="5" t="n"/>
      <c r="W76" s="5" t="n"/>
    </row>
    <row r="77">
      <c r="A77" s="5" t="n"/>
      <c r="B77" s="5" t="n"/>
      <c r="C77" s="261" t="n"/>
      <c r="D77" s="261" t="n"/>
      <c r="E77" s="261" t="n"/>
      <c r="F77" s="261" t="n"/>
      <c r="G77" s="261" t="n"/>
      <c r="H77" s="261" t="n"/>
      <c r="I77" s="261" t="n"/>
      <c r="J77" s="261" t="n"/>
      <c r="K77" s="261" t="n"/>
      <c r="L77" s="261" t="n"/>
      <c r="M77" s="261" t="n"/>
      <c r="N77" s="261" t="n"/>
      <c r="O77" s="261" t="n"/>
      <c r="P77" s="5" t="n"/>
      <c r="Q77" s="5" t="n"/>
      <c r="R77" s="5" t="n"/>
      <c r="S77" s="5" t="n"/>
      <c r="T77" s="5" t="n"/>
      <c r="U77" s="5" t="n"/>
      <c r="V77" s="5" t="n"/>
      <c r="W77" s="5" t="n"/>
    </row>
    <row r="78">
      <c r="A78" s="5" t="n"/>
      <c r="B78" s="5" t="n"/>
      <c r="C78" s="261" t="n"/>
      <c r="D78" s="261" t="n"/>
      <c r="E78" s="261" t="n"/>
      <c r="F78" s="261" t="n"/>
      <c r="G78" s="261" t="n"/>
      <c r="H78" s="261" t="n"/>
      <c r="I78" s="261" t="n"/>
      <c r="J78" s="261" t="n"/>
      <c r="K78" s="261" t="n"/>
      <c r="L78" s="261" t="n"/>
      <c r="M78" s="261" t="n"/>
      <c r="N78" s="261" t="n"/>
      <c r="O78" s="261" t="n"/>
      <c r="P78" s="5" t="n"/>
      <c r="Q78" s="5" t="n"/>
      <c r="R78" s="5" t="n"/>
      <c r="S78" s="5" t="n"/>
      <c r="T78" s="5" t="n"/>
      <c r="U78" s="5" t="n"/>
      <c r="V78" s="5" t="n"/>
      <c r="W78" s="5" t="n"/>
    </row>
    <row r="79">
      <c r="A79" s="5" t="n"/>
      <c r="B79" s="5" t="n"/>
      <c r="C79" s="261" t="n"/>
      <c r="D79" s="312" t="n"/>
      <c r="E79" s="261" t="n"/>
      <c r="F79" s="261" t="n"/>
      <c r="G79" s="261" t="n"/>
      <c r="H79" s="261" t="n"/>
      <c r="I79" s="261" t="n"/>
      <c r="J79" s="261" t="n"/>
      <c r="K79" s="261" t="n"/>
      <c r="L79" s="261" t="n"/>
      <c r="M79" s="261" t="n"/>
      <c r="N79" s="261" t="n"/>
      <c r="O79" s="261" t="n"/>
      <c r="P79" s="5" t="n"/>
      <c r="Q79" s="5" t="n"/>
      <c r="R79" s="5" t="n"/>
      <c r="S79" s="5" t="n"/>
      <c r="T79" s="5" t="n"/>
      <c r="U79" s="5" t="n"/>
      <c r="V79" s="5" t="n"/>
      <c r="W79" s="5" t="n"/>
    </row>
    <row r="80">
      <c r="A80" s="5" t="n"/>
      <c r="B80" s="5" t="n"/>
      <c r="C80" s="5" t="n"/>
      <c r="D80" s="286" t="n"/>
      <c r="E80" s="5" t="n"/>
      <c r="F80" s="287" t="n"/>
      <c r="G80" s="5" t="n"/>
      <c r="H80" s="286" t="n"/>
      <c r="I80" s="5" t="n"/>
      <c r="J80" s="5" t="n"/>
      <c r="K80" s="5" t="n"/>
      <c r="L80" s="5" t="n"/>
      <c r="M80" s="5" t="n"/>
      <c r="N80" s="5" t="n"/>
      <c r="O80" s="5" t="n"/>
      <c r="P80" s="5" t="n"/>
      <c r="Q80" s="5" t="n"/>
      <c r="R80" s="5" t="n"/>
      <c r="S80" s="5" t="n"/>
      <c r="T80" s="5" t="n"/>
      <c r="U80" s="5" t="n"/>
      <c r="V80" s="5" t="n"/>
      <c r="W80" s="5" t="n"/>
    </row>
    <row r="81">
      <c r="A81" s="5" t="n"/>
      <c r="B81" s="5" t="n"/>
      <c r="C81" s="5" t="n"/>
      <c r="D81" s="286" t="n"/>
      <c r="E81" s="5" t="n"/>
      <c r="F81" s="287" t="n"/>
      <c r="G81" s="5" t="n"/>
      <c r="H81" s="286" t="n"/>
      <c r="I81" s="5" t="n"/>
      <c r="J81" s="5" t="n"/>
      <c r="K81" s="5" t="n"/>
      <c r="L81" s="5" t="n"/>
      <c r="M81" s="5" t="n"/>
      <c r="N81" s="5" t="n"/>
      <c r="O81" s="5" t="n"/>
      <c r="P81" s="5" t="n"/>
      <c r="Q81" s="5" t="n"/>
      <c r="R81" s="5" t="n"/>
      <c r="S81" s="5" t="n"/>
      <c r="T81" s="5" t="n"/>
      <c r="U81" s="5" t="n"/>
      <c r="V81" s="5" t="n"/>
      <c r="W81" s="5" t="n"/>
    </row>
    <row r="82">
      <c r="A82" s="5" t="n"/>
      <c r="B82" s="5" t="n"/>
      <c r="C82" s="5" t="n"/>
      <c r="D82" s="286" t="n"/>
      <c r="E82" s="5" t="n"/>
      <c r="F82" s="287" t="n"/>
      <c r="G82" s="5" t="n"/>
      <c r="H82" s="286" t="n"/>
      <c r="I82" s="5" t="n"/>
      <c r="J82" s="5" t="n"/>
      <c r="K82" s="5" t="n"/>
      <c r="L82" s="5" t="n"/>
      <c r="M82" s="5" t="n"/>
      <c r="N82" s="5" t="n"/>
      <c r="O82" s="5" t="n"/>
      <c r="P82" s="5" t="n"/>
      <c r="Q82" s="5" t="n"/>
      <c r="R82" s="5" t="n"/>
      <c r="S82" s="5" t="n"/>
    </row>
  </sheetData>
  <sheetProtection selectLockedCells="0" selectUnlockedCells="0" algorithmName="SHA-512" sheet="1" objects="1" insertRows="1" insertHyperlinks="1" autoFilter="1" scenarios="1" formatColumns="0" deleteColumns="1" insertColumns="1" pivotTables="1" deleteRows="1" formatCells="1" saltValue="PHEQKbbkBq/9isVTiYgQ+w==" formatRows="0" sort="1" spinCount="100000" hashValue="+GEpJwFyMGaNy6pthjA/QCYrikSGRBLDD7o7V4L0vs2s38KviG98XI7qvcXTrE8ujC5qURbadCBwuDglSNwQNw=="/>
  <mergeCells count="2">
    <mergeCell ref="I2:K3"/>
    <mergeCell ref="B2:C2"/>
  </mergeCells>
  <conditionalFormatting sqref="C9:D9 C10:C13 C14:H15 C25:H42 F9 H9">
    <cfRule type="expression" priority="30" dxfId="7" stopIfTrue="1">
      <formula>ISERROR(C9)</formula>
    </cfRule>
  </conditionalFormatting>
  <conditionalFormatting sqref="C58 E58 G58">
    <cfRule type="containsBlanks" priority="20" dxfId="24">
      <formula>LEN(TRIM(C58))=0</formula>
    </cfRule>
  </conditionalFormatting>
  <conditionalFormatting sqref="C17:C21">
    <cfRule type="expression" priority="5" dxfId="7" stopIfTrue="1">
      <formula>ISERROR(C17)</formula>
    </cfRule>
  </conditionalFormatting>
  <conditionalFormatting sqref="E9:E13">
    <cfRule type="expression" priority="4" dxfId="7" stopIfTrue="1">
      <formula>ISERROR(E9)</formula>
    </cfRule>
  </conditionalFormatting>
  <conditionalFormatting sqref="G9:G13">
    <cfRule type="expression" priority="3" dxfId="7" stopIfTrue="1">
      <formula>ISERROR(G9)</formula>
    </cfRule>
  </conditionalFormatting>
  <conditionalFormatting sqref="E17:E21">
    <cfRule type="expression" priority="2" dxfId="7" stopIfTrue="1">
      <formula>ISERROR(E17)</formula>
    </cfRule>
  </conditionalFormatting>
  <conditionalFormatting sqref="G17:G21">
    <cfRule type="expression" priority="1" dxfId="7" stopIfTrue="1">
      <formula>ISERROR(G17)</formula>
    </cfRule>
  </conditionalFormatting>
  <printOptions horizontalCentered="1" verticalCentered="1"/>
  <pageMargins left="0.7" right="0.7" top="0.75" bottom="0.75" header="0.3" footer="0.3"/>
  <pageSetup orientation="landscape" scale="58"/>
  <headerFooter scaleWithDoc="0">
    <oddHeader>&amp;C&amp;"Gill Sans MT,Regular"&amp;12 Income Statement Years 1-3</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codeName="Sheet14">
    <tabColor rgb="FFFFC95B"/>
    <outlinePr summaryBelow="1" summaryRight="1"/>
    <pageSetUpPr fitToPage="1"/>
  </sheetPr>
  <dimension ref="C2:H46"/>
  <sheetViews>
    <sheetView topLeftCell="A7" zoomScaleNormal="100" zoomScalePageLayoutView="60" workbookViewId="0">
      <selection activeCell="D20" sqref="D20"/>
    </sheetView>
  </sheetViews>
  <sheetFormatPr baseColWidth="8" defaultColWidth="8.83984375" defaultRowHeight="13.5"/>
  <cols>
    <col width="3.83984375" customWidth="1" style="46" min="1" max="2"/>
    <col width="41.68359375" bestFit="1" customWidth="1" style="46" min="3" max="3"/>
    <col width="15" bestFit="1" customWidth="1" style="46" min="4" max="4"/>
    <col width="16.68359375" bestFit="1" customWidth="1" style="46" min="5" max="6"/>
    <col width="8.83984375" customWidth="1" style="46" min="7" max="16384"/>
  </cols>
  <sheetData>
    <row r="2">
      <c r="C2" s="501" t="inlineStr">
        <is>
          <t>Balance Sheet Years 1-3</t>
        </is>
      </c>
      <c r="D2" s="56" t="n"/>
      <c r="F2" s="148" t="n"/>
    </row>
    <row r="3">
      <c r="C3" s="56" t="n"/>
      <c r="D3" s="56" t="n"/>
      <c r="F3" s="148" t="n"/>
    </row>
    <row r="4" ht="17.25" customHeight="1">
      <c r="C4" s="501" t="inlineStr">
        <is>
          <t>Prepared By:</t>
        </is>
      </c>
      <c r="D4" s="501" t="inlineStr">
        <is>
          <t>Company Name:</t>
        </is>
      </c>
      <c r="F4" s="148" t="n"/>
    </row>
    <row r="5">
      <c r="C5" s="502">
        <f>IF(ISBLANK(Directions!C10), "Owner", Directions!C10)</f>
        <v/>
      </c>
      <c r="D5" s="502">
        <f>IF(ISBLANK(Directions!D10), "Company 1", Directions!D10)</f>
        <v/>
      </c>
      <c r="F5" s="148" t="n"/>
    </row>
    <row r="6">
      <c r="F6" s="148" t="n"/>
    </row>
    <row r="7" ht="13.8" customHeight="1" thickBot="1">
      <c r="C7" s="506" t="inlineStr">
        <is>
          <t>ASSETS</t>
        </is>
      </c>
      <c r="D7" s="506">
        <f>IF(Directions!F10&gt;0,Directions!F10,"First Year")</f>
        <v/>
      </c>
      <c r="E7" s="506">
        <f>IF(Directions!F10&gt;0,Directions!F10+1,"Second Year")</f>
        <v/>
      </c>
      <c r="F7" s="506">
        <f>IF(Directions!F10&gt;0,Directions!F10+2,"Third Year")</f>
        <v/>
      </c>
    </row>
    <row r="8" ht="13.8" customHeight="1" thickTop="1">
      <c r="C8" s="322" t="inlineStr">
        <is>
          <t>Current Assets</t>
        </is>
      </c>
      <c r="D8" s="372" t="n"/>
      <c r="E8" s="372" t="n"/>
      <c r="F8" s="372" t="n"/>
    </row>
    <row r="9">
      <c r="C9" s="184" t="inlineStr">
        <is>
          <t>Cash</t>
        </is>
      </c>
      <c r="D9" s="186">
        <f>Y1EndingCashBal</f>
        <v/>
      </c>
      <c r="E9" s="186">
        <f>'6b-CashFlowYrs1-3'!N32</f>
        <v/>
      </c>
      <c r="F9" s="186">
        <f>'6b-CashFlowYrs1-3'!AA32</f>
        <v/>
      </c>
    </row>
    <row r="10">
      <c r="C10" s="184" t="inlineStr">
        <is>
          <t>Accounts Receivable</t>
        </is>
      </c>
      <c r="D10" s="186">
        <f>+'7a-IncomeStatementYear1'!O15-'6a-CashFlowYear1'!O12-'7a-IncomeStatementYear1'!O56</f>
        <v/>
      </c>
      <c r="E10" s="186">
        <f>+D10+'7b-IncomeStatementYrs1-3'!E14-'6b-CashFlowYrs1-3'!O11-'7b-IncomeStatementYrs1-3'!E55</f>
        <v/>
      </c>
      <c r="F10" s="186">
        <f>+E10+'7b-IncomeStatementYrs1-3'!G14-'6b-CashFlowYrs1-3'!AB11-'7b-IncomeStatementYrs1-3'!G55</f>
        <v/>
      </c>
    </row>
    <row r="11">
      <c r="C11" s="184" t="inlineStr">
        <is>
          <t>Inventory</t>
        </is>
      </c>
      <c r="D11" s="186">
        <f>+Inventory+'6a-CashFlowYear1'!O17</f>
        <v/>
      </c>
      <c r="E11" s="186">
        <f>+D11+'6b-CashFlowYrs1-3'!O16</f>
        <v/>
      </c>
      <c r="F11" s="186">
        <f>+E11+'6b-CashFlowYrs1-3'!AB16</f>
        <v/>
      </c>
    </row>
    <row r="12">
      <c r="C12" s="184" t="inlineStr">
        <is>
          <t>Prepaid Expenses</t>
        </is>
      </c>
      <c r="D12" s="186">
        <f>+'Amortization&amp;Depreciation'!C132-'Amortization&amp;Depreciation'!C133</f>
        <v/>
      </c>
      <c r="E12" s="186">
        <f>+D12-'Amortization&amp;Depreciation'!C133</f>
        <v/>
      </c>
      <c r="F12" s="186">
        <f>+E12-'Amortization&amp;Depreciation'!C133</f>
        <v/>
      </c>
    </row>
    <row r="13">
      <c r="C13" s="184" t="inlineStr">
        <is>
          <t>Other Initial Costs</t>
        </is>
      </c>
      <c r="D13" s="186">
        <f>+OtherStartUp-'Amortization&amp;Depreciation'!C135</f>
        <v/>
      </c>
      <c r="E13" s="186">
        <f>+D13-'Amortization&amp;Depreciation'!C135</f>
        <v/>
      </c>
      <c r="F13" s="186">
        <f>+E13-'Amortization&amp;Depreciation'!C135</f>
        <v/>
      </c>
    </row>
    <row r="14">
      <c r="C14" s="149" t="inlineStr">
        <is>
          <t>Total Current Assets</t>
        </is>
      </c>
      <c r="D14" s="191">
        <f>SUM(D9:D13)</f>
        <v/>
      </c>
      <c r="E14" s="191">
        <f>SUM(E9:E13)</f>
        <v/>
      </c>
      <c r="F14" s="191">
        <f>SUM(F9:F13)</f>
        <v/>
      </c>
    </row>
    <row r="15">
      <c r="C15" s="195" t="n"/>
      <c r="D15" s="562" t="n"/>
      <c r="E15" s="562" t="n"/>
      <c r="F15" s="562" t="n"/>
    </row>
    <row r="16">
      <c r="C16" s="195" t="inlineStr">
        <is>
          <t>Fixed Assets</t>
        </is>
      </c>
      <c r="D16" s="562" t="n"/>
      <c r="E16" s="562" t="n"/>
      <c r="F16" s="562" t="n"/>
    </row>
    <row r="17">
      <c r="C17" s="227" t="inlineStr">
        <is>
          <t>Real Estate -- Land</t>
        </is>
      </c>
      <c r="D17" s="186">
        <f>Land</f>
        <v/>
      </c>
      <c r="E17" s="186">
        <f>Land</f>
        <v/>
      </c>
      <c r="F17" s="186">
        <f>Land</f>
        <v/>
      </c>
    </row>
    <row r="18">
      <c r="C18" s="227" t="inlineStr">
        <is>
          <t>Real Estate -- Buildings</t>
        </is>
      </c>
      <c r="D18" s="186">
        <f>+'4-AdditionalInputs'!P29</f>
        <v/>
      </c>
      <c r="E18" s="186">
        <f>+'4-AdditionalInputs'!P29+'4-AdditionalInputs'!Q29</f>
        <v/>
      </c>
      <c r="F18" s="186">
        <f>+'4-AdditionalInputs'!P29+'4-AdditionalInputs'!Q29+'4-AdditionalInputs'!R29</f>
        <v/>
      </c>
    </row>
    <row r="19">
      <c r="C19" s="227" t="inlineStr">
        <is>
          <t>Leasehold Improvements</t>
        </is>
      </c>
      <c r="D19" s="186">
        <f>+'4-AdditionalInputs'!P30</f>
        <v/>
      </c>
      <c r="E19" s="186">
        <f>+'4-AdditionalInputs'!P30+'4-AdditionalInputs'!Q30</f>
        <v/>
      </c>
      <c r="F19" s="186">
        <f>+'4-AdditionalInputs'!P30+'4-AdditionalInputs'!Q30+'4-AdditionalInputs'!R30</f>
        <v/>
      </c>
    </row>
    <row r="20">
      <c r="C20" s="227" t="inlineStr">
        <is>
          <t>Equipment</t>
        </is>
      </c>
      <c r="D20" s="186">
        <f>+'4-AdditionalInputs'!P31</f>
        <v/>
      </c>
      <c r="E20" s="186">
        <f>+'4-AdditionalInputs'!P31+'4-AdditionalInputs'!Q31</f>
        <v/>
      </c>
      <c r="F20" s="186">
        <f>+'4-AdditionalInputs'!P31+'4-AdditionalInputs'!Q31+'4-AdditionalInputs'!R31</f>
        <v/>
      </c>
    </row>
    <row r="21">
      <c r="C21" s="227" t="inlineStr">
        <is>
          <t>Furniture and Fixtures</t>
        </is>
      </c>
      <c r="D21" s="186">
        <f>+'4-AdditionalInputs'!P32</f>
        <v/>
      </c>
      <c r="E21" s="186">
        <f>+'4-AdditionalInputs'!P32+'4-AdditionalInputs'!Q32</f>
        <v/>
      </c>
      <c r="F21" s="186">
        <f>+'4-AdditionalInputs'!P32+'4-AdditionalInputs'!Q32+'4-AdditionalInputs'!R32</f>
        <v/>
      </c>
    </row>
    <row r="22">
      <c r="C22" s="227" t="inlineStr">
        <is>
          <t>Vehicles</t>
        </is>
      </c>
      <c r="D22" s="186">
        <f>+'4-AdditionalInputs'!P33</f>
        <v/>
      </c>
      <c r="E22" s="186">
        <f>+'4-AdditionalInputs'!P33+'4-AdditionalInputs'!Q33</f>
        <v/>
      </c>
      <c r="F22" s="186">
        <f>+'4-AdditionalInputs'!P33+'4-AdditionalInputs'!Q33+'4-AdditionalInputs'!R33</f>
        <v/>
      </c>
    </row>
    <row r="23">
      <c r="C23" s="227" t="inlineStr">
        <is>
          <t xml:space="preserve">Other </t>
        </is>
      </c>
      <c r="D23" s="186">
        <f>+'4-AdditionalInputs'!P34</f>
        <v/>
      </c>
      <c r="E23" s="186">
        <f>+'4-AdditionalInputs'!P34+'4-AdditionalInputs'!Q34</f>
        <v/>
      </c>
      <c r="F23" s="186">
        <f>+'4-AdditionalInputs'!P34+'4-AdditionalInputs'!Q34+'4-AdditionalInputs'!R34</f>
        <v/>
      </c>
    </row>
    <row r="24">
      <c r="C24" s="106" t="inlineStr">
        <is>
          <t>Total Fixed Assets</t>
        </is>
      </c>
      <c r="D24" s="191">
        <f>SUM(D17:D23)</f>
        <v/>
      </c>
      <c r="E24" s="191">
        <f>SUM(E17:E23)</f>
        <v/>
      </c>
      <c r="F24" s="191">
        <f>SUM(F17:F23)</f>
        <v/>
      </c>
    </row>
    <row r="25">
      <c r="C25" s="195" t="inlineStr">
        <is>
          <t>(Less Accumulated Depreciation)</t>
        </is>
      </c>
      <c r="D25" s="86">
        <f>'Amortization&amp;Depreciation'!O119</f>
        <v/>
      </c>
      <c r="E25" s="86">
        <f>+D25+'Amortization&amp;Depreciation'!O123</f>
        <v/>
      </c>
      <c r="F25" s="86">
        <f>E25+'Amortization&amp;Depreciation'!O127</f>
        <v/>
      </c>
    </row>
    <row r="26">
      <c r="C26" s="87" t="inlineStr">
        <is>
          <t>Total Assets</t>
        </is>
      </c>
      <c r="D26" s="86">
        <f>INT(D24+D14-D25)</f>
        <v/>
      </c>
      <c r="E26" s="86">
        <f>INT(E24+E14-E25)</f>
        <v/>
      </c>
      <c r="F26" s="86">
        <f>INT(F24+F14-F25)</f>
        <v/>
      </c>
    </row>
    <row r="27">
      <c r="C27" s="195" t="n"/>
      <c r="D27" s="562" t="n"/>
      <c r="E27" s="562" t="n"/>
      <c r="F27" s="562" t="n"/>
    </row>
    <row r="28" ht="13.8" customHeight="1" thickBot="1">
      <c r="C28" s="506" t="inlineStr">
        <is>
          <t>LIABILITIES &amp; EQUITY</t>
        </is>
      </c>
      <c r="D28" s="506" t="n"/>
      <c r="E28" s="506" t="n"/>
      <c r="F28" s="506" t="n"/>
    </row>
    <row r="29" ht="13.8" customHeight="1" thickTop="1">
      <c r="C29" s="373" t="inlineStr">
        <is>
          <t>Liabilities</t>
        </is>
      </c>
      <c r="D29" s="563" t="n"/>
      <c r="E29" s="563" t="n"/>
      <c r="F29" s="563" t="n"/>
    </row>
    <row r="30">
      <c r="C30" s="227" t="inlineStr">
        <is>
          <t>Accounts Payable</t>
        </is>
      </c>
      <c r="D30" s="186">
        <f>+'7a-IncomeStatementYear1'!O23-'6a-CashFlowYear1'!O18</f>
        <v/>
      </c>
      <c r="E30" s="186">
        <f>+D30+'7b-IncomeStatementYrs1-3'!E22-'6b-CashFlowYrs1-3'!O17</f>
        <v/>
      </c>
      <c r="F30" s="186">
        <f>+E30+'7b-IncomeStatementYrs1-3'!G22-'6b-CashFlowYrs1-3'!AB17</f>
        <v/>
      </c>
    </row>
    <row r="31">
      <c r="C31" s="227" t="inlineStr">
        <is>
          <t>Commercial Loan Balance</t>
        </is>
      </c>
      <c r="D31" s="186">
        <f>+'Amortization&amp;Depreciation'!N17</f>
        <v/>
      </c>
      <c r="E31" s="186">
        <f>+'Amortization&amp;Depreciation'!N21</f>
        <v/>
      </c>
      <c r="F31" s="186">
        <f>+'Amortization&amp;Depreciation'!N25</f>
        <v/>
      </c>
      <c r="G31" s="228" t="n"/>
      <c r="H31" s="228" t="n"/>
    </row>
    <row r="32">
      <c r="C32" s="227" t="inlineStr">
        <is>
          <t>Commercial Mortgage Balance</t>
        </is>
      </c>
      <c r="D32" s="288">
        <f>+'Amortization&amp;Depreciation'!N37</f>
        <v/>
      </c>
      <c r="E32" s="288">
        <f>+'Amortization&amp;Depreciation'!N41</f>
        <v/>
      </c>
      <c r="F32" s="288">
        <f>+'Amortization&amp;Depreciation'!N45</f>
        <v/>
      </c>
      <c r="G32" s="228" t="n"/>
      <c r="H32" s="228" t="n"/>
    </row>
    <row r="33">
      <c r="C33" s="227" t="inlineStr">
        <is>
          <t>Credit Card Debt Balance</t>
        </is>
      </c>
      <c r="D33" s="288">
        <f>+'Amortization&amp;Depreciation'!N57</f>
        <v/>
      </c>
      <c r="E33" s="288">
        <f>+'Amortization&amp;Depreciation'!N61</f>
        <v/>
      </c>
      <c r="F33" s="288">
        <f>+'Amortization&amp;Depreciation'!N65</f>
        <v/>
      </c>
      <c r="G33" s="228" t="n"/>
      <c r="H33" s="228" t="n"/>
    </row>
    <row r="34">
      <c r="C34" s="227" t="inlineStr">
        <is>
          <t>Vehicle Loans Balance</t>
        </is>
      </c>
      <c r="D34" s="288">
        <f>+'Amortization&amp;Depreciation'!N77</f>
        <v/>
      </c>
      <c r="E34" s="288">
        <f>+'Amortization&amp;Depreciation'!N81</f>
        <v/>
      </c>
      <c r="F34" s="288">
        <f>+'Amortization&amp;Depreciation'!N85</f>
        <v/>
      </c>
      <c r="G34" s="228" t="n"/>
      <c r="H34" s="228" t="n"/>
    </row>
    <row r="35">
      <c r="C35" s="227" t="inlineStr">
        <is>
          <t>Other Bank Debt Balance</t>
        </is>
      </c>
      <c r="D35" s="288">
        <f>+'Amortization&amp;Depreciation'!N97</f>
        <v/>
      </c>
      <c r="E35" s="288">
        <f>+'Amortization&amp;Depreciation'!N101</f>
        <v/>
      </c>
      <c r="F35" s="288">
        <f>+'Amortization&amp;Depreciation'!N105</f>
        <v/>
      </c>
      <c r="G35" s="228" t="n"/>
      <c r="H35" s="228" t="n"/>
    </row>
    <row r="36">
      <c r="C36" s="227" t="inlineStr">
        <is>
          <t>Line of Credit Balance</t>
        </is>
      </c>
      <c r="D36" s="288">
        <f>+'6a-CashFlowYear1'!N34</f>
        <v/>
      </c>
      <c r="E36" s="288">
        <f>+'6b-CashFlowYrs1-3'!N33</f>
        <v/>
      </c>
      <c r="F36" s="288">
        <f>+'6b-CashFlowYrs1-3'!AA33</f>
        <v/>
      </c>
      <c r="G36" s="228" t="n"/>
      <c r="H36" s="228" t="n"/>
    </row>
    <row r="37">
      <c r="C37" s="106" t="inlineStr">
        <is>
          <t>Total  Liabilities</t>
        </is>
      </c>
      <c r="D37" s="271">
        <f>SUM(D30:D36)</f>
        <v/>
      </c>
      <c r="E37" s="271">
        <f>SUM(E30:E36)</f>
        <v/>
      </c>
      <c r="F37" s="271">
        <f>SUM(F30:F36)</f>
        <v/>
      </c>
    </row>
    <row r="38">
      <c r="C38" s="195" t="inlineStr">
        <is>
          <t>Equity</t>
        </is>
      </c>
      <c r="D38" s="562" t="n"/>
      <c r="E38" s="562" t="n"/>
      <c r="F38" s="562" t="n"/>
    </row>
    <row r="39">
      <c r="C39" s="227" t="inlineStr">
        <is>
          <t>Common Stock</t>
        </is>
      </c>
      <c r="D39" s="186">
        <f>OwnerEquity+OutsideInvest</f>
        <v/>
      </c>
      <c r="E39" s="186">
        <f>OwnerEquity+OutsideInvest</f>
        <v/>
      </c>
      <c r="F39" s="186">
        <f>OwnerEquity+OutsideInvest</f>
        <v/>
      </c>
    </row>
    <row r="40">
      <c r="C40" s="227" t="inlineStr">
        <is>
          <t>Retained Earnings</t>
        </is>
      </c>
      <c r="D40" s="186">
        <f>'7b-IncomeStatementYrs1-3'!C59</f>
        <v/>
      </c>
      <c r="E40" s="186">
        <f>D40+NetIncomeY2</f>
        <v/>
      </c>
      <c r="F40" s="186">
        <f>E40+NetIncomeY3</f>
        <v/>
      </c>
    </row>
    <row r="41">
      <c r="C41" s="227" t="inlineStr">
        <is>
          <t>Dividends Dispersed/Owners Draw</t>
        </is>
      </c>
      <c r="D41" s="186">
        <f>'6a-CashFlowYear1'!O28+'6a-CashFlowYear1'!O25</f>
        <v/>
      </c>
      <c r="E41" s="186">
        <f>+D41+'6b-CashFlowYrs1-3'!O27+'6b-CashFlowYrs1-3'!O24</f>
        <v/>
      </c>
      <c r="F41" s="186">
        <f>+E41+'6b-CashFlowYrs1-3'!AB27+'6b-CashFlowYrs1-3'!AB24</f>
        <v/>
      </c>
    </row>
    <row r="42">
      <c r="C42" s="106" t="inlineStr">
        <is>
          <t>Total Equity</t>
        </is>
      </c>
      <c r="D42" s="191">
        <f>+D39+D40-D41</f>
        <v/>
      </c>
      <c r="E42" s="191">
        <f>+E39+E40-E41</f>
        <v/>
      </c>
      <c r="F42" s="191">
        <f>+F39+F40-F41</f>
        <v/>
      </c>
    </row>
    <row r="43">
      <c r="C43" s="47" t="inlineStr">
        <is>
          <t>Total Liabilities and Equity</t>
        </is>
      </c>
      <c r="D43" s="86">
        <f>INT(D37+D42)</f>
        <v/>
      </c>
      <c r="E43" s="86">
        <f>INT(E37+E42)</f>
        <v/>
      </c>
      <c r="F43" s="86">
        <f>INT(F37+F42)</f>
        <v/>
      </c>
    </row>
    <row r="44">
      <c r="C44" s="7" t="n"/>
      <c r="D44" s="564" t="n"/>
      <c r="E44" s="564" t="n"/>
      <c r="F44" s="564" t="n"/>
    </row>
    <row r="45">
      <c r="C45" s="516" t="inlineStr">
        <is>
          <t>Balance sheet in or out of balance?</t>
        </is>
      </c>
      <c r="D45" s="86">
        <f>D26-D43</f>
        <v/>
      </c>
      <c r="E45" s="86">
        <f>E26-E43</f>
        <v/>
      </c>
      <c r="F45" s="86">
        <f>F26-F43</f>
        <v/>
      </c>
    </row>
    <row r="46">
      <c r="C46" s="565" t="n"/>
      <c r="D46" s="73">
        <f>IF(D45=0,"Balanced!", "Warning: Not Balanced")</f>
        <v/>
      </c>
      <c r="E46" s="73">
        <f>IF(E45=0,"Balanced!", "Warning: Not Balanced")</f>
        <v/>
      </c>
      <c r="F46" s="73">
        <f>IF(F45=0,"Balanced!", "Warning: Not Balanced")</f>
        <v/>
      </c>
    </row>
  </sheetData>
  <sheetProtection selectLockedCells="0" selectUnlockedCells="0" algorithmName="SHA-512" sheet="1" objects="1" insertRows="1" insertHyperlinks="1" autoFilter="1" scenarios="1" formatColumns="0" deleteColumns="1" insertColumns="1" pivotTables="1" deleteRows="1" formatCells="1" saltValue="1if5JhEy2yKLPbiMg+62Lw==" formatRows="0" sort="1" spinCount="100000" hashValue="k8+/nrYyXAWWNcUXGYNRZbsg6gfp8pFIOYLSsG4vhx3IQpczD94BKe6WGY4K35Zvqr3ThNqLDAVEiDbOazJueg=="/>
  <mergeCells count="1">
    <mergeCell ref="C45:C46"/>
  </mergeCells>
  <conditionalFormatting sqref="D32:F37">
    <cfRule type="notContainsBlanks" priority="34" dxfId="18" stopIfTrue="1">
      <formula>LEN(TRIM(D32))&gt;0</formula>
    </cfRule>
    <cfRule type="containsBlanks" priority="35" dxfId="17" stopIfTrue="1">
      <formula>LEN(TRIM(D32))=0</formula>
    </cfRule>
    <cfRule type="cellIs" priority="33" operator="equal" dxfId="16" stopIfTrue="1">
      <formula>#DIV/0!</formula>
    </cfRule>
  </conditionalFormatting>
  <conditionalFormatting sqref="D11:F13 D14 D17:F23 D25:F25 E9:F9">
    <cfRule type="expression" priority="17" dxfId="7" stopIfTrue="1">
      <formula>ISERROR(D9)</formula>
    </cfRule>
  </conditionalFormatting>
  <conditionalFormatting sqref="D43:F43">
    <cfRule type="expression" priority="14" dxfId="7" stopIfTrue="1">
      <formula>ISERROR(D43)</formula>
    </cfRule>
  </conditionalFormatting>
  <conditionalFormatting sqref="D45:F45">
    <cfRule type="expression" priority="13" dxfId="7" stopIfTrue="1">
      <formula>ISERROR(D45)</formula>
    </cfRule>
  </conditionalFormatting>
  <conditionalFormatting sqref="D30:F30">
    <cfRule type="expression" priority="11" dxfId="7" stopIfTrue="1">
      <formula>ISERROR(D30)</formula>
    </cfRule>
  </conditionalFormatting>
  <conditionalFormatting sqref="D26:F26">
    <cfRule type="expression" priority="10" dxfId="7" stopIfTrue="1">
      <formula>ISERROR(D26)</formula>
    </cfRule>
  </conditionalFormatting>
  <conditionalFormatting sqref="D24:F24">
    <cfRule type="expression" priority="9" dxfId="7" stopIfTrue="1">
      <formula>ISERROR(D24)</formula>
    </cfRule>
  </conditionalFormatting>
  <conditionalFormatting sqref="D9:D10 E10:F10">
    <cfRule type="expression" priority="6" dxfId="7" stopIfTrue="1">
      <formula>ISERROR(D9)</formula>
    </cfRule>
  </conditionalFormatting>
  <conditionalFormatting sqref="E14:F14">
    <cfRule type="expression" priority="4" dxfId="7" stopIfTrue="1">
      <formula>ISERROR(E14)</formula>
    </cfRule>
  </conditionalFormatting>
  <conditionalFormatting sqref="D31:F31">
    <cfRule type="expression" priority="3" dxfId="7" stopIfTrue="1">
      <formula>ISERROR(D31)</formula>
    </cfRule>
  </conditionalFormatting>
  <conditionalFormatting sqref="D46:F46">
    <cfRule type="containsText" priority="1" operator="containsText" dxfId="6" text="Warning:">
      <formula>NOT(ISERROR(SEARCH("Warning:",D46)))</formula>
    </cfRule>
  </conditionalFormatting>
  <printOptions horizontalCentered="1" verticalCentered="1"/>
  <pageMargins left="0.25" right="0.25" top="0.75" bottom="0.75" header="0.3" footer="0.3"/>
  <pageSetup orientation="landscape" scale="81"/>
  <headerFooter scaleWithDoc="0">
    <oddHeader>&amp;C&amp;"Gill Sans MT,Regular"&amp;12 Balance Sheet Years 1-3</oddHeader>
    <oddFooter>&amp;L&amp;"Gill Sans MT,Regular"&amp;12 &amp;F&amp;C&amp;"Gill Sans MT,Regular"&amp;12 &amp;A&amp;R&amp;"Gill Sans MT,Regular"&amp;12 &amp;D &amp;T</oddFooter>
    <evenHeader/>
    <evenFooter/>
    <firstHeader/>
    <firstFooter/>
  </headerFooter>
  <rowBreaks count="1" manualBreakCount="1">
    <brk id="43" min="0" max="16383" man="1"/>
  </rowBreaks>
</worksheet>
</file>

<file path=xl/worksheets/sheet15.xml><?xml version="1.0" encoding="utf-8"?>
<worksheet xmlns="http://schemas.openxmlformats.org/spreadsheetml/2006/main">
  <sheetPr codeName="Sheet12">
    <tabColor rgb="FF339966"/>
    <outlinePr summaryBelow="1" summaryRight="1"/>
    <pageSetUpPr fitToPage="1"/>
  </sheetPr>
  <dimension ref="A1:K48"/>
  <sheetViews>
    <sheetView zoomScaleNormal="100" workbookViewId="0">
      <selection activeCell="C10" sqref="C10"/>
    </sheetView>
  </sheetViews>
  <sheetFormatPr baseColWidth="8" defaultColWidth="9.15625" defaultRowHeight="13.5"/>
  <cols>
    <col width="9.15625" customWidth="1" style="5" min="1" max="1"/>
    <col width="36.41796875" customWidth="1" style="5" min="2" max="2"/>
    <col width="17" bestFit="1" customWidth="1" style="5" min="3" max="3"/>
    <col width="14.83984375" bestFit="1" customWidth="1" style="549" min="4" max="4"/>
    <col width="9.15625" customWidth="1" style="5" min="5" max="16384"/>
  </cols>
  <sheetData>
    <row r="1">
      <c r="D1" s="549" t="n"/>
    </row>
    <row r="2">
      <c r="B2" s="504" t="inlineStr">
        <is>
          <t>Breakeven Analysis Year 1</t>
        </is>
      </c>
      <c r="D2" s="549" t="n"/>
      <c r="E2" s="270" t="n"/>
      <c r="F2" s="270" t="n"/>
      <c r="G2" s="270" t="n"/>
    </row>
    <row r="3">
      <c r="B3" s="52" t="n"/>
      <c r="D3" s="549" t="n"/>
      <c r="E3" s="270" t="n"/>
      <c r="F3" s="270" t="n"/>
      <c r="G3" s="270" t="n"/>
    </row>
    <row r="4">
      <c r="B4" s="504" t="inlineStr">
        <is>
          <t>Prepared By:</t>
        </is>
      </c>
      <c r="C4" s="9" t="inlineStr">
        <is>
          <t>Company Name:</t>
        </is>
      </c>
      <c r="D4" s="549" t="n"/>
    </row>
    <row r="5">
      <c r="B5" s="5">
        <f>IF(ISBLANK(Directions!C10), "Owner", Directions!C10)</f>
        <v/>
      </c>
      <c r="C5" s="5">
        <f>IF(ISBLANK(Directions!D10), "Company 1", Directions!D10)</f>
        <v/>
      </c>
      <c r="D5" s="5" t="n"/>
    </row>
    <row r="6">
      <c r="D6" s="5" t="n"/>
    </row>
    <row r="7">
      <c r="B7" s="566" t="n"/>
      <c r="C7" s="244" t="n"/>
      <c r="D7" s="5" t="n"/>
    </row>
    <row r="8" ht="13.8" customHeight="1" thickBot="1">
      <c r="B8" s="506" t="inlineStr">
        <is>
          <t xml:space="preserve">Gross Margin % of Sales </t>
        </is>
      </c>
      <c r="C8" s="520" t="n"/>
      <c r="D8" s="5" t="n"/>
    </row>
    <row r="9" ht="13.8" customHeight="1" thickTop="1">
      <c r="B9" s="367" t="inlineStr">
        <is>
          <t>Gross Margin</t>
        </is>
      </c>
      <c r="C9" s="375">
        <f>'7b-IncomeStatementYrs1-3'!C23</f>
        <v/>
      </c>
      <c r="D9" s="5" t="n"/>
    </row>
    <row r="10">
      <c r="B10" s="184" t="inlineStr">
        <is>
          <t>Total Sales</t>
        </is>
      </c>
      <c r="C10" s="144">
        <f>'7b-IncomeStatementYrs1-3'!C14</f>
        <v/>
      </c>
      <c r="D10" s="5" t="n"/>
    </row>
    <row r="11">
      <c r="B11" s="26" t="inlineStr">
        <is>
          <t>Gross Margin/Total Sales</t>
        </is>
      </c>
      <c r="C11" s="313">
        <f>IF(C10&gt;0, C9/C10, 0)</f>
        <v/>
      </c>
      <c r="D11" s="5" t="n"/>
    </row>
    <row r="12" ht="13.8" customHeight="1" thickBot="1">
      <c r="B12" s="506" t="inlineStr">
        <is>
          <t xml:space="preserve">Total Fixed Expenses </t>
        </is>
      </c>
      <c r="C12" s="520" t="n"/>
      <c r="D12" s="567" t="n"/>
      <c r="E12" s="502" t="n"/>
    </row>
    <row r="13" ht="29.25" customHeight="1" thickTop="1">
      <c r="B13" s="322" t="inlineStr">
        <is>
          <t>Payroll</t>
        </is>
      </c>
      <c r="C13" s="568">
        <f>'2a-PayrollYear1'!R25</f>
        <v/>
      </c>
      <c r="D13" s="567" t="n"/>
      <c r="E13" s="502" t="n"/>
    </row>
    <row r="14" ht="29.25" customHeight="1">
      <c r="B14" s="7" t="inlineStr">
        <is>
          <t>Operating Expenses</t>
        </is>
      </c>
      <c r="C14" s="569">
        <f>'5a-OpExYear1'!O38</f>
        <v/>
      </c>
      <c r="D14" s="567" t="n"/>
      <c r="E14" s="502" t="n"/>
    </row>
    <row r="15">
      <c r="B15" s="26" t="inlineStr">
        <is>
          <t>Operating + Payroll</t>
        </is>
      </c>
      <c r="C15" s="448">
        <f>SUM(C13:C14)</f>
        <v/>
      </c>
      <c r="D15" s="567" t="n"/>
      <c r="E15" s="502" t="n"/>
    </row>
    <row r="16" ht="13.8" customHeight="1" thickBot="1">
      <c r="B16" s="506" t="inlineStr">
        <is>
          <t>Breakeven Sales in Dollars (Annual)</t>
        </is>
      </c>
      <c r="C16" s="520" t="n"/>
      <c r="D16" s="567" t="n"/>
      <c r="E16" s="502" t="n"/>
    </row>
    <row r="17" ht="29.25" customHeight="1" thickTop="1">
      <c r="B17" s="367" t="inlineStr">
        <is>
          <t>Gross Margin % of Sales</t>
        </is>
      </c>
      <c r="C17" s="377">
        <f>C11</f>
        <v/>
      </c>
      <c r="D17" s="567" t="n"/>
      <c r="E17" s="502" t="n"/>
    </row>
    <row r="18" ht="29.25" customHeight="1">
      <c r="B18" s="184" t="inlineStr">
        <is>
          <t xml:space="preserve">Total Fixed Expenses </t>
        </is>
      </c>
      <c r="C18" s="314">
        <f>C15</f>
        <v/>
      </c>
      <c r="D18" s="567" t="n"/>
      <c r="E18" s="502" t="n"/>
    </row>
    <row r="19" ht="29.25" customHeight="1">
      <c r="B19" s="26" t="inlineStr">
        <is>
          <t>Yearly Breakeven Amount</t>
        </is>
      </c>
      <c r="C19" s="132">
        <f>IF(C11=0,0, C15/C11)</f>
        <v/>
      </c>
      <c r="D19" s="567" t="n"/>
      <c r="E19" s="502" t="n"/>
    </row>
    <row r="20">
      <c r="B20" s="262" t="inlineStr">
        <is>
          <t>Monthly Breakeven Amount</t>
        </is>
      </c>
      <c r="C20" s="247">
        <f>C19/12</f>
        <v/>
      </c>
      <c r="D20" s="248" t="n"/>
      <c r="E20" s="502" t="n"/>
    </row>
    <row r="21">
      <c r="C21" s="570" t="n"/>
      <c r="D21" s="248" t="n"/>
      <c r="E21" s="502" t="n"/>
    </row>
    <row r="22">
      <c r="C22" s="571" t="n"/>
      <c r="D22" s="248" t="n"/>
      <c r="E22" s="502" t="n"/>
    </row>
    <row r="23">
      <c r="B23" s="502" t="n"/>
      <c r="C23" s="251" t="n"/>
      <c r="D23" s="248" t="n"/>
      <c r="E23" s="502" t="n"/>
    </row>
    <row r="24">
      <c r="B24" s="252" t="n"/>
      <c r="C24" s="253" t="n"/>
      <c r="D24" s="572" t="n"/>
      <c r="E24" s="502" t="n"/>
    </row>
    <row r="25">
      <c r="B25" s="252" t="n"/>
      <c r="C25" s="255" t="n"/>
      <c r="D25" s="572" t="n"/>
      <c r="E25" s="502" t="n"/>
    </row>
    <row r="26">
      <c r="B26" s="8" t="n"/>
      <c r="C26" s="253" t="n"/>
      <c r="D26" s="256" t="n"/>
      <c r="E26" s="502" t="n"/>
    </row>
    <row r="27">
      <c r="B27" s="8" t="n"/>
      <c r="C27" s="253" t="n"/>
      <c r="D27" s="256" t="n"/>
      <c r="E27" s="502" t="n"/>
      <c r="J27" s="9" t="n"/>
      <c r="K27" s="9" t="n"/>
    </row>
    <row r="28">
      <c r="B28" s="8" t="n"/>
      <c r="C28" s="253" t="n"/>
      <c r="D28" s="256" t="n"/>
      <c r="E28" s="502" t="n"/>
    </row>
    <row r="29">
      <c r="B29" s="8" t="n"/>
      <c r="C29" s="253" t="n"/>
      <c r="D29" s="256" t="n"/>
      <c r="E29" s="502" t="n"/>
    </row>
    <row r="30">
      <c r="B30" s="8" t="n"/>
      <c r="C30" s="253" t="n"/>
      <c r="D30" s="256" t="n"/>
      <c r="E30" s="502" t="n"/>
    </row>
    <row r="31">
      <c r="B31" s="8" t="n"/>
      <c r="C31" s="253" t="n"/>
      <c r="D31" s="256" t="n"/>
      <c r="E31" s="502" t="n"/>
    </row>
    <row r="32">
      <c r="B32" s="8" t="n"/>
      <c r="C32" s="253" t="n"/>
      <c r="D32" s="256" t="n"/>
      <c r="E32" s="502" t="n"/>
    </row>
    <row r="33">
      <c r="B33" s="8" t="n"/>
      <c r="C33" s="253" t="n"/>
      <c r="D33" s="256" t="n"/>
      <c r="E33" s="502" t="n"/>
    </row>
    <row r="34">
      <c r="B34" s="8" t="n"/>
      <c r="C34" s="253" t="n"/>
      <c r="D34" s="256" t="n"/>
      <c r="E34" s="502" t="n"/>
    </row>
    <row r="35">
      <c r="B35" s="8" t="n"/>
      <c r="C35" s="253" t="n"/>
      <c r="D35" s="256" t="n"/>
      <c r="E35" s="502" t="n"/>
    </row>
    <row r="36">
      <c r="B36" s="8" t="n"/>
      <c r="C36" s="253" t="n"/>
      <c r="D36" s="256" t="n"/>
      <c r="E36" s="502" t="n"/>
    </row>
    <row r="37">
      <c r="B37" s="8" t="n"/>
      <c r="C37" s="253" t="n"/>
      <c r="D37" s="256" t="n"/>
      <c r="E37" s="502" t="n"/>
    </row>
    <row r="38">
      <c r="B38" s="8" t="n"/>
      <c r="C38" s="253" t="n"/>
      <c r="D38" s="256" t="n"/>
      <c r="E38" s="8" t="n"/>
    </row>
    <row r="39">
      <c r="B39" s="8" t="n"/>
      <c r="C39" s="253" t="n"/>
      <c r="D39" s="257" t="n"/>
      <c r="E39" s="8" t="n"/>
    </row>
    <row r="40">
      <c r="B40" s="252" t="n"/>
      <c r="C40" s="258" t="n"/>
      <c r="D40" s="259" t="n"/>
      <c r="E40" s="8" t="n"/>
    </row>
    <row r="41">
      <c r="B41" s="252" t="n"/>
      <c r="C41" s="258" t="n"/>
      <c r="D41" s="259" t="n"/>
      <c r="E41" s="8" t="n"/>
    </row>
    <row r="42">
      <c r="B42" s="9" t="n"/>
      <c r="C42" s="260" t="n"/>
      <c r="D42" s="259" t="n"/>
      <c r="E42" s="8" t="n"/>
    </row>
    <row r="43">
      <c r="D43" s="261" t="n"/>
      <c r="E43" s="8" t="n"/>
    </row>
    <row r="44">
      <c r="B44" s="252" t="n"/>
      <c r="C44" s="260" t="n"/>
      <c r="D44" s="259" t="n"/>
      <c r="E44" s="8" t="n"/>
    </row>
    <row r="45">
      <c r="A45" s="8" t="n"/>
      <c r="B45" s="8" t="n"/>
      <c r="C45" s="8" t="n"/>
      <c r="D45" s="8" t="n"/>
      <c r="E45" s="8" t="n"/>
    </row>
    <row r="46">
      <c r="B46" s="8" t="n"/>
      <c r="C46" s="8" t="n"/>
      <c r="D46" s="573" t="n"/>
      <c r="E46" s="8" t="n"/>
    </row>
    <row r="47">
      <c r="B47" s="8" t="n"/>
      <c r="C47" s="8" t="n"/>
      <c r="D47" s="573" t="n"/>
      <c r="E47" s="8" t="n"/>
    </row>
    <row r="48">
      <c r="B48" s="8" t="n"/>
      <c r="C48" s="8" t="n"/>
      <c r="D48" s="573" t="n"/>
      <c r="E48" s="8" t="n"/>
    </row>
  </sheetData>
  <sheetProtection selectLockedCells="0" selectUnlockedCells="0" sheet="1" objects="1" insertRows="1" insertHyperlinks="1" autoFilter="1" scenarios="1" formatColumns="0" deleteColumns="1" insertColumns="1" pivotTables="1" deleteRows="1" formatCells="1" formatRows="0" sort="1" password="CC3D"/>
  <mergeCells count="3">
    <mergeCell ref="B8:C8"/>
    <mergeCell ref="B16:C16"/>
    <mergeCell ref="B12:C12"/>
  </mergeCells>
  <printOptions horizontalCentered="1"/>
  <pageMargins left="0.25" right="0.25" top="0.75" bottom="0.75" header="0.3" footer="0.3"/>
  <pageSetup orientation="landscape"/>
  <headerFooter scaleWithDoc="0">
    <oddHeader>&amp;C&amp;"Gill Sans MT,Regular"&amp;12 Breakeven Analysis</oddHeader>
    <oddFooter>&amp;L&amp;"Gill Sans MT,Regular"&amp;12 &amp;F&amp;C&amp;"Gill Sans MT,Regular"&amp;12 &amp;A&amp;R&amp;"Gill Sans MT,Regular"&amp;12 &amp;D &amp;T</oddFooter>
    <evenHeader/>
    <evenFooter/>
    <firstHeader/>
    <firstFooter/>
  </headerFooter>
</worksheet>
</file>

<file path=xl/worksheets/sheet16.xml><?xml version="1.0" encoding="utf-8"?>
<worksheet xmlns="http://schemas.openxmlformats.org/spreadsheetml/2006/main">
  <sheetPr codeName="Sheet15">
    <tabColor rgb="FF339966"/>
    <outlinePr summaryBelow="1" summaryRight="1"/>
    <pageSetUpPr fitToPage="1"/>
  </sheetPr>
  <dimension ref="A1:H33"/>
  <sheetViews>
    <sheetView zoomScaleNormal="100" workbookViewId="0">
      <selection activeCell="F9" sqref="F9"/>
    </sheetView>
  </sheetViews>
  <sheetFormatPr baseColWidth="8" defaultColWidth="17.578125" defaultRowHeight="13.5"/>
  <cols>
    <col width="9.26171875" customWidth="1" style="46" min="1" max="1"/>
    <col width="39.83984375" customWidth="1" style="46" min="2" max="2"/>
    <col width="15" bestFit="1" customWidth="1" style="46" min="3" max="3"/>
    <col width="10.41796875" bestFit="1" customWidth="1" style="46" min="4" max="4"/>
    <col width="12.26171875" bestFit="1" customWidth="1" style="46" min="5" max="5"/>
    <col width="17.26171875" bestFit="1" customWidth="1" style="46" min="6" max="6"/>
    <col width="12.26171875" customWidth="1" style="46" min="7" max="7"/>
    <col width="17.578125" customWidth="1" style="46" min="8" max="16384"/>
  </cols>
  <sheetData>
    <row r="1">
      <c r="A1" s="9" t="n"/>
      <c r="B1" s="9" t="n"/>
    </row>
    <row r="2">
      <c r="B2" s="514" t="inlineStr">
        <is>
          <t>Financial Ratios - Year 1</t>
        </is>
      </c>
    </row>
    <row r="3">
      <c r="B3" s="241" t="n"/>
    </row>
    <row r="4">
      <c r="B4" s="504" t="inlineStr">
        <is>
          <t>Prepared By:</t>
        </is>
      </c>
      <c r="C4" s="504" t="inlineStr">
        <is>
          <t>Company Name:</t>
        </is>
      </c>
    </row>
    <row r="5">
      <c r="A5" s="9" t="n"/>
      <c r="B5" s="517">
        <f>IF(ISBLANK(Directions!C10), "Owner", Directions!C10)</f>
        <v/>
      </c>
      <c r="C5" s="517">
        <f>IF(ISBLANK(Directions!D10), "Company 1", Directions!D10)</f>
        <v/>
      </c>
      <c r="D5" s="5" t="n"/>
      <c r="E5" s="5" t="n"/>
    </row>
    <row r="6">
      <c r="A6" s="9" t="n"/>
      <c r="B6" s="9" t="n"/>
      <c r="C6" s="5" t="n"/>
      <c r="D6" s="5" t="n"/>
      <c r="E6" s="5" t="n"/>
    </row>
    <row r="7" ht="13.8" customHeight="1" thickBot="1">
      <c r="B7" s="506" t="inlineStr">
        <is>
          <t>Ratios</t>
        </is>
      </c>
      <c r="C7" s="506" t="inlineStr">
        <is>
          <t>Year One</t>
        </is>
      </c>
      <c r="D7" s="506" t="inlineStr">
        <is>
          <t>Year Two</t>
        </is>
      </c>
      <c r="E7" s="506" t="inlineStr">
        <is>
          <t>Year Three</t>
        </is>
      </c>
      <c r="F7" s="506" t="inlineStr">
        <is>
          <t xml:space="preserve"> Industry Norms</t>
        </is>
      </c>
      <c r="G7" s="506" t="inlineStr">
        <is>
          <t>Notes</t>
        </is>
      </c>
    </row>
    <row r="8" ht="13.8" customHeight="1" thickTop="1">
      <c r="A8" s="9" t="n"/>
      <c r="B8" s="378" t="inlineStr">
        <is>
          <t>Liquidity</t>
        </is>
      </c>
      <c r="C8" s="574" t="n"/>
      <c r="D8" s="380" t="n"/>
      <c r="E8" s="322" t="n"/>
      <c r="F8" s="322" t="n"/>
      <c r="G8" s="322" t="n"/>
    </row>
    <row r="9">
      <c r="A9" s="9" t="n"/>
      <c r="B9" s="264" t="inlineStr">
        <is>
          <t>Current Ratio</t>
        </is>
      </c>
      <c r="C9" s="575">
        <f>IF('8-BalanceSheet'!D37=0,0,'8-BalanceSheet'!D14/'8-BalanceSheet'!D37)</f>
        <v/>
      </c>
      <c r="D9" s="575">
        <f>IF('8-BalanceSheet'!E37=0,0,'8-BalanceSheet'!E14/'8-BalanceSheet'!E37)</f>
        <v/>
      </c>
      <c r="E9" s="575">
        <f>IF('8-BalanceSheet'!F37=0,0,'8-BalanceSheet'!F14/'8-BalanceSheet'!F37)</f>
        <v/>
      </c>
      <c r="F9" s="576" t="n"/>
      <c r="G9" s="7" t="n"/>
    </row>
    <row r="10">
      <c r="A10" s="9" t="n"/>
      <c r="B10" s="264" t="inlineStr">
        <is>
          <t>Quick Ratio</t>
        </is>
      </c>
      <c r="C10" s="575">
        <f>IF('8-BalanceSheet'!D37=0,0,('8-BalanceSheet'!D9+'8-BalanceSheet'!D10)/'8-BalanceSheet'!D37)</f>
        <v/>
      </c>
      <c r="D10" s="575">
        <f>IF('8-BalanceSheet'!E37=0,0,('8-BalanceSheet'!E9+'8-BalanceSheet'!E10)/'8-BalanceSheet'!E37)</f>
        <v/>
      </c>
      <c r="E10" s="575">
        <f>IF('8-BalanceSheet'!F37=0,0,('8-BalanceSheet'!F9+'8-BalanceSheet'!F10)/'8-BalanceSheet'!F37)</f>
        <v/>
      </c>
      <c r="F10" s="576" t="n"/>
      <c r="G10" s="7" t="n"/>
    </row>
    <row r="11">
      <c r="A11" s="9" t="n"/>
      <c r="B11" s="44" t="inlineStr">
        <is>
          <t>Safety</t>
        </is>
      </c>
      <c r="C11" s="575" t="n"/>
      <c r="D11" s="575" t="n"/>
      <c r="E11" s="575" t="n"/>
      <c r="F11" s="576" t="n"/>
      <c r="G11" s="7" t="n"/>
    </row>
    <row r="12">
      <c r="A12" s="9" t="n"/>
      <c r="B12" s="264" t="inlineStr">
        <is>
          <t>Debt to Equity Ratio</t>
        </is>
      </c>
      <c r="C12" s="575">
        <f>IF('8-BalanceSheet'!D42=0,0,'8-BalanceSheet'!D37/'8-BalanceSheet'!D42)</f>
        <v/>
      </c>
      <c r="D12" s="575">
        <f>IF('8-BalanceSheet'!E42=0,0,'8-BalanceSheet'!E37/'8-BalanceSheet'!E42)</f>
        <v/>
      </c>
      <c r="E12" s="575">
        <f>IF('8-BalanceSheet'!F42=0,0,'8-BalanceSheet'!F37/'8-BalanceSheet'!F42)</f>
        <v/>
      </c>
      <c r="F12" s="576" t="n"/>
      <c r="G12" s="7" t="n"/>
    </row>
    <row r="13">
      <c r="A13" s="9" t="n"/>
      <c r="B13" s="264" t="inlineStr">
        <is>
          <t>Debt-Service Coverage Ratio - DSCR</t>
        </is>
      </c>
      <c r="C13" s="575">
        <f>IF('8-BalanceSheet'!D37=0,0,('7a-IncomeStatementYear1'!O60+'7a-IncomeStatementYear1'!O48)/'8-BalanceSheet'!D37)</f>
        <v/>
      </c>
      <c r="D13" s="575">
        <f>IF('8-BalanceSheet'!E37=0,0,('7b-IncomeStatementYrs1-3'!E47+NetIncomeY2)/'8-BalanceSheet'!E37)</f>
        <v/>
      </c>
      <c r="E13" s="575">
        <f>IF('8-BalanceSheet'!F37=0,0,('7b-IncomeStatementYrs1-3'!G47+NetIncomeY3)/'8-BalanceSheet'!F37)</f>
        <v/>
      </c>
      <c r="F13" s="576" t="n"/>
      <c r="G13" s="7" t="n"/>
    </row>
    <row r="14">
      <c r="A14" s="9" t="n"/>
      <c r="B14" s="44" t="inlineStr">
        <is>
          <t>Profitability</t>
        </is>
      </c>
      <c r="C14" s="267" t="n"/>
      <c r="D14" s="267" t="n"/>
      <c r="E14" s="267" t="n"/>
      <c r="F14" s="7" t="n"/>
      <c r="G14" s="7" t="n"/>
    </row>
    <row r="15">
      <c r="A15" s="9" t="n"/>
      <c r="B15" s="264" t="inlineStr">
        <is>
          <t xml:space="preserve">Sales Growth </t>
        </is>
      </c>
      <c r="C15" s="268" t="n">
        <v>0</v>
      </c>
      <c r="D15" s="268">
        <f>IF('7b-IncomeStatementYrs1-3'!C14=0,0,('7b-IncomeStatementYrs1-3'!E14- '7b-IncomeStatementYrs1-3'!C14)/'7b-IncomeStatementYrs1-3'!C14)</f>
        <v/>
      </c>
      <c r="E15" s="268">
        <f>IF('7b-IncomeStatementYrs1-3'!E14=0,0,('7b-IncomeStatementYrs1-3'!G14- '7b-IncomeStatementYrs1-3'!E14)/'7b-IncomeStatementYrs1-3'!E14)</f>
        <v/>
      </c>
      <c r="F15" s="163" t="n"/>
      <c r="G15" s="7" t="n"/>
    </row>
    <row r="16">
      <c r="A16" s="9" t="n"/>
      <c r="B16" s="264" t="inlineStr">
        <is>
          <t>COGS to Sales</t>
        </is>
      </c>
      <c r="C16" s="268">
        <f>IF('7b-IncomeStatementYrs1-3'!C14=0,0,'7b-IncomeStatementYrs1-3'!C22/'7b-IncomeStatementYrs1-3'!C14)</f>
        <v/>
      </c>
      <c r="D16" s="268">
        <f>IF('7b-IncomeStatementYrs1-3'!E14=0,0,'7b-IncomeStatementYrs1-3'!E22/'7b-IncomeStatementYrs1-3'!E14)</f>
        <v/>
      </c>
      <c r="E16" s="268">
        <f>IF('7b-IncomeStatementYrs1-3'!G14=0,0,'7b-IncomeStatementYrs1-3'!G22/'7b-IncomeStatementYrs1-3'!G14)</f>
        <v/>
      </c>
      <c r="F16" s="163" t="n"/>
      <c r="G16" s="7" t="n"/>
    </row>
    <row r="17">
      <c r="A17" s="9" t="n"/>
      <c r="B17" s="264" t="inlineStr">
        <is>
          <t>Gross Profit Margin</t>
        </is>
      </c>
      <c r="C17" s="268">
        <f>BreakevenAnalysis!C11</f>
        <v/>
      </c>
      <c r="D17" s="268">
        <f>IF('7b-IncomeStatementYrs1-3'!E14=0,0,'7b-IncomeStatementYrs1-3'!E23/'7b-IncomeStatementYrs1-3'!E14)</f>
        <v/>
      </c>
      <c r="E17" s="268">
        <f>IF('7b-IncomeStatementYrs1-3'!G14=0,0,'7b-IncomeStatementYrs1-3'!G23/'7b-IncomeStatementYrs1-3'!G14)</f>
        <v/>
      </c>
      <c r="F17" s="163" t="n"/>
      <c r="G17" s="7" t="n"/>
    </row>
    <row r="18">
      <c r="A18" s="9" t="n"/>
      <c r="B18" s="264" t="inlineStr">
        <is>
          <t>SG&amp;A to Sales</t>
        </is>
      </c>
      <c r="C18" s="268">
        <f>IF('7a-IncomeStatementYear1'!O15=0,0,('7a-IncomeStatementYear1'!O25+'7a-IncomeStatementYear1'!O44)/'7a-IncomeStatementYear1'!O15)</f>
        <v/>
      </c>
      <c r="D18" s="268">
        <f>IF('7b-IncomeStatementYrs1-3'!E14=0,0,('7b-IncomeStatementYrs1-3'!E24+'7b-IncomeStatementYrs1-3'!E43)/'7b-IncomeStatementYrs1-3'!E14)</f>
        <v/>
      </c>
      <c r="E18" s="268">
        <f>IF('7b-IncomeStatementYrs1-3'!G14=0,0,('7b-IncomeStatementYrs1-3'!G24+'7b-IncomeStatementYrs1-3'!G43)/'7b-IncomeStatementYrs1-3'!G14)</f>
        <v/>
      </c>
      <c r="F18" s="163" t="n"/>
      <c r="G18" s="7" t="n"/>
    </row>
    <row r="19">
      <c r="A19" s="9" t="n"/>
      <c r="B19" s="264" t="inlineStr">
        <is>
          <t>Net Profit Margin</t>
        </is>
      </c>
      <c r="C19" s="268">
        <f>IF('7b-IncomeStatementYrs1-3'!C14=0,0,NetIncomeY1/'7b-IncomeStatementYrs1-3'!C14)</f>
        <v/>
      </c>
      <c r="D19" s="268">
        <f>IF('7b-IncomeStatementYrs1-3'!E14=0,0,NetIncomeY2/'7b-IncomeStatementYrs1-3'!E14)</f>
        <v/>
      </c>
      <c r="E19" s="268">
        <f>IF('7b-IncomeStatementYrs1-3'!G14=0,0,NetIncomeY3/'7b-IncomeStatementYrs1-3'!G14)</f>
        <v/>
      </c>
      <c r="F19" s="163" t="n"/>
      <c r="G19" s="7" t="n"/>
    </row>
    <row r="20">
      <c r="A20" s="9" t="n"/>
      <c r="B20" s="264" t="inlineStr">
        <is>
          <t>Return on Equity (ROE)</t>
        </is>
      </c>
      <c r="C20" s="268">
        <f>IF('8-BalanceSheet'!D42=0,0, NetIncomeY1/'8-BalanceSheet'!D42)</f>
        <v/>
      </c>
      <c r="D20" s="268">
        <f>IF('8-BalanceSheet'!E42=0,0, NetIncomeY2/'8-BalanceSheet'!E42)</f>
        <v/>
      </c>
      <c r="E20" s="268">
        <f>IF('8-BalanceSheet'!F42=0,0, NetIncomeY3/'8-BalanceSheet'!F42)</f>
        <v/>
      </c>
      <c r="F20" s="163" t="n"/>
      <c r="G20" s="7" t="n"/>
    </row>
    <row r="21">
      <c r="A21" s="9" t="n"/>
      <c r="B21" s="264" t="inlineStr">
        <is>
          <t>Return on Assets</t>
        </is>
      </c>
      <c r="C21" s="268">
        <f>IF('8-BalanceSheet'!D26=0,0, NetIncomeY1/'8-BalanceSheet'!D26)</f>
        <v/>
      </c>
      <c r="D21" s="268">
        <f>IF('8-BalanceSheet'!E26=0,0, NetIncomeY2/'8-BalanceSheet'!E26)</f>
        <v/>
      </c>
      <c r="E21" s="268">
        <f>IF('8-BalanceSheet'!F26=0,0, NetIncomeY3/'8-BalanceSheet'!F26)</f>
        <v/>
      </c>
      <c r="F21" s="163" t="n"/>
      <c r="G21" s="7" t="n"/>
    </row>
    <row r="22">
      <c r="A22" s="9" t="n"/>
      <c r="B22" s="264" t="inlineStr">
        <is>
          <t>Owner's Compensation to Sales</t>
        </is>
      </c>
      <c r="C22" s="268">
        <f>IF('7b-IncomeStatementYrs1-3'!C14=0,0,'2b-PayrollYrs1-3'!C9/'7b-IncomeStatementYrs1-3'!C14)</f>
        <v/>
      </c>
      <c r="D22" s="268">
        <f>IF('7b-IncomeStatementYrs1-3'!E14=0,0,'2b-PayrollYrs1-3'!E9/'7b-IncomeStatementYrs1-3'!E14)</f>
        <v/>
      </c>
      <c r="E22" s="268">
        <f>IF('7b-IncomeStatementYrs1-3'!G14=0,0,'2b-PayrollYrs1-3'!G9/'7b-IncomeStatementYrs1-3'!G14)</f>
        <v/>
      </c>
      <c r="F22" s="163" t="n"/>
      <c r="G22" s="7" t="n"/>
    </row>
    <row r="23">
      <c r="A23" s="9" t="n"/>
      <c r="B23" s="44" t="inlineStr">
        <is>
          <t>Efficiency</t>
        </is>
      </c>
      <c r="C23" s="267" t="n"/>
      <c r="D23" s="267" t="n"/>
      <c r="E23" s="267" t="n"/>
      <c r="F23" s="7" t="n"/>
      <c r="G23" s="7" t="n"/>
    </row>
    <row r="24">
      <c r="A24" s="9" t="n"/>
      <c r="B24" s="264" t="inlineStr">
        <is>
          <t>Days in Receivables</t>
        </is>
      </c>
      <c r="C24" s="575">
        <f>IF('7b-IncomeStatementYrs1-3'!C14=0,0, '8-BalanceSheet'!D10/'7b-IncomeStatementYrs1-3'!C14 * 360)</f>
        <v/>
      </c>
      <c r="D24" s="575">
        <f>IF('7b-IncomeStatementYrs1-3'!E14=0,0,'8-BalanceSheet'!E10/'7b-IncomeStatementYrs1-3'!E14)*360</f>
        <v/>
      </c>
      <c r="E24" s="575">
        <f>IF('7b-IncomeStatementYrs1-3'!G14=0,0, '8-BalanceSheet'!F10/'7b-IncomeStatementYrs1-3'!G14 * 360)</f>
        <v/>
      </c>
      <c r="F24" s="576" t="n"/>
      <c r="G24" s="7" t="n"/>
    </row>
    <row r="25">
      <c r="A25" s="9" t="n"/>
      <c r="B25" s="264" t="inlineStr">
        <is>
          <t>Accounts Receivable Turnover</t>
        </is>
      </c>
      <c r="C25" s="575">
        <f>IF('8-BalanceSheet'!D10=0,0,'7b-IncomeStatementYrs1-3'!C14/'8-BalanceSheet'!D10)</f>
        <v/>
      </c>
      <c r="D25" s="575">
        <f>IF('8-BalanceSheet'!E10=0,0,'7b-IncomeStatementYrs1-3'!E14/'8-BalanceSheet'!E10)</f>
        <v/>
      </c>
      <c r="E25" s="575">
        <f>IF('8-BalanceSheet'!F10=0,0,'7b-IncomeStatementYrs1-3'!G14/'8-BalanceSheet'!F10)</f>
        <v/>
      </c>
      <c r="F25" s="576" t="n"/>
      <c r="G25" s="7" t="n"/>
    </row>
    <row r="26">
      <c r="A26" s="9" t="n"/>
      <c r="B26" s="264" t="inlineStr">
        <is>
          <t>Days in Inventory</t>
        </is>
      </c>
      <c r="C26" s="575">
        <f>IF('7b-IncomeStatementYrs1-3'!C22=0,0,'8-BalanceSheet'!D11/'7b-IncomeStatementYrs1-3'!C22*360)</f>
        <v/>
      </c>
      <c r="D26" s="575">
        <f>IF('7b-IncomeStatementYrs1-3'!E22=0,0,'8-BalanceSheet'!E11/'7b-IncomeStatementYrs1-3'!E22*365)</f>
        <v/>
      </c>
      <c r="E26" s="575">
        <f>IF('7b-IncomeStatementYrs1-3'!G22=0,0,'8-BalanceSheet'!F11/'7b-IncomeStatementYrs1-3'!G22*365)</f>
        <v/>
      </c>
      <c r="F26" s="576" t="n"/>
      <c r="G26" s="7" t="n"/>
    </row>
    <row r="27">
      <c r="A27" s="9" t="n"/>
      <c r="B27" s="264" t="inlineStr">
        <is>
          <t>Inventory Turnover</t>
        </is>
      </c>
      <c r="C27" s="575">
        <f>IF('8-BalanceSheet'!D11=0,0,'7b-IncomeStatementYrs1-3'!C22/'8-BalanceSheet'!D11)</f>
        <v/>
      </c>
      <c r="D27" s="575">
        <f>IF('8-BalanceSheet'!E11=0,0,'7b-IncomeStatementYrs1-3'!E22/'8-BalanceSheet'!E11)</f>
        <v/>
      </c>
      <c r="E27" s="575">
        <f>IF('8-BalanceSheet'!F11=0,0,'7b-IncomeStatementYrs1-3'!G22/'8-BalanceSheet'!F11)</f>
        <v/>
      </c>
      <c r="F27" s="576" t="n"/>
      <c r="G27" s="7" t="n"/>
    </row>
    <row r="28">
      <c r="A28" s="9" t="n"/>
      <c r="B28" s="264" t="inlineStr">
        <is>
          <t>Sales to Total Assets</t>
        </is>
      </c>
      <c r="C28" s="575">
        <f>IF('8-BalanceSheet'!D26=0,0,'7b-IncomeStatementYrs1-3'!C14/'8-BalanceSheet'!D26)</f>
        <v/>
      </c>
      <c r="D28" s="575">
        <f>IF('8-BalanceSheet'!E26=0,0,'7b-IncomeStatementYrs1-3'!E14/'8-BalanceSheet'!E26)</f>
        <v/>
      </c>
      <c r="E28" s="575">
        <f>IF('8-BalanceSheet'!F26=0,0,'7b-IncomeStatementYrs1-3'!G14/'8-BalanceSheet'!F26)</f>
        <v/>
      </c>
      <c r="F28" s="576" t="n"/>
      <c r="G28" s="7" t="n"/>
    </row>
    <row r="29">
      <c r="A29" s="9" t="n"/>
      <c r="B29" s="9" t="n"/>
      <c r="C29" s="549" t="n"/>
      <c r="D29" s="39" t="n"/>
      <c r="E29" s="39" t="n"/>
      <c r="F29" s="5" t="n"/>
      <c r="G29" s="5" t="n"/>
      <c r="H29" s="5" t="n"/>
    </row>
    <row r="30">
      <c r="A30" s="9" t="n"/>
      <c r="B30" s="39" t="n"/>
      <c r="C30" s="39" t="n"/>
      <c r="D30" s="39" t="n"/>
      <c r="E30" s="5" t="n"/>
    </row>
    <row r="31">
      <c r="A31" s="9" t="n"/>
      <c r="B31" s="39" t="n"/>
      <c r="C31" s="39" t="n"/>
      <c r="D31" s="39" t="n"/>
      <c r="E31" s="5" t="n"/>
    </row>
    <row r="32">
      <c r="A32" s="9" t="n"/>
      <c r="B32" s="39" t="n"/>
      <c r="C32" s="39" t="n"/>
      <c r="D32" s="39" t="n"/>
      <c r="E32" s="5" t="n"/>
    </row>
    <row r="33">
      <c r="B33" s="9" t="n"/>
      <c r="C33" s="39" t="n"/>
    </row>
  </sheetData>
  <sheetProtection selectLockedCells="0" selectUnlockedCells="0" sheet="1" objects="1" insertRows="1" insertHyperlinks="1" autoFilter="1" scenarios="1" formatColumns="0" deleteColumns="1" insertColumns="1" pivotTables="1" deleteRows="1" formatCells="1" formatRows="0" sort="1" password="CC3D"/>
  <conditionalFormatting sqref="F9:F10">
    <cfRule type="containsBlanks" priority="11" dxfId="0">
      <formula>LEN(TRIM(F9))=0</formula>
    </cfRule>
  </conditionalFormatting>
  <conditionalFormatting sqref="F12:F13">
    <cfRule type="containsBlanks" priority="10" dxfId="0">
      <formula>LEN(TRIM(F12))=0</formula>
    </cfRule>
  </conditionalFormatting>
  <conditionalFormatting sqref="F15:F22">
    <cfRule type="containsBlanks" priority="12" dxfId="0">
      <formula>LEN(TRIM(F15))=0</formula>
    </cfRule>
  </conditionalFormatting>
  <conditionalFormatting sqref="F24:F28">
    <cfRule type="containsBlanks" priority="9" dxfId="0">
      <formula>LEN(TRIM(F24))=0</formula>
    </cfRule>
  </conditionalFormatting>
  <printOptions horizontalCentered="1" verticalCentered="1"/>
  <pageMargins left="0.25" right="0.25" top="0.75" bottom="0.75" header="0.3" footer="0.3"/>
  <pageSetup orientation="landscape"/>
  <headerFooter scaleWithDoc="0">
    <oddHeader>&amp;C&amp;"Gill Sans MT,Regular"&amp;12 Financial Ratios - Year 1</oddHeader>
    <oddFooter>&amp;L&amp;"Gill Sans MT,Regular"&amp;12 &amp;F&amp;C&amp;"Gill Sans MT,Regular"&amp;12 &amp;A&amp;R&amp;"Gill Sans MT,Regular"&amp;12 &amp;D &amp;T</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codeName="Sheet21">
    <tabColor rgb="FF339966"/>
    <outlinePr summaryBelow="1" summaryRight="1"/>
    <pageSetUpPr fitToPage="1"/>
  </sheetPr>
  <dimension ref="A1:H40"/>
  <sheetViews>
    <sheetView zoomScaleNormal="100" workbookViewId="0">
      <selection activeCell="G34" sqref="G34"/>
    </sheetView>
  </sheetViews>
  <sheetFormatPr baseColWidth="8" defaultColWidth="9.15625" defaultRowHeight="13.5"/>
  <cols>
    <col width="6.26171875" customWidth="1" style="46" min="1" max="1"/>
    <col width="41.15625" customWidth="1" style="46" min="2" max="2"/>
    <col width="11.68359375" bestFit="1" customWidth="1" style="46" min="3" max="3"/>
    <col width="53.68359375" customWidth="1" style="46" min="4" max="4"/>
    <col width="9.15625" customWidth="1" style="46" min="5" max="5"/>
    <col width="23.26171875" bestFit="1" customWidth="1" style="46" min="6" max="6"/>
    <col width="9.15625" customWidth="1" style="46" min="7" max="16384"/>
  </cols>
  <sheetData>
    <row r="1">
      <c r="A1" s="9" t="n"/>
      <c r="B1" s="9" t="n"/>
    </row>
    <row r="2">
      <c r="B2" s="514" t="inlineStr">
        <is>
          <t>Diagnostic Tools - Year 1</t>
        </is>
      </c>
    </row>
    <row r="3">
      <c r="B3" s="241" t="n"/>
    </row>
    <row r="4">
      <c r="B4" s="504" t="inlineStr">
        <is>
          <t>Prepared By:</t>
        </is>
      </c>
      <c r="C4" s="504" t="inlineStr">
        <is>
          <t>Company Name:</t>
        </is>
      </c>
    </row>
    <row r="5">
      <c r="A5" s="9" t="n"/>
      <c r="B5" s="517">
        <f>IF(ISBLANK(Directions!C10), "Owner", Directions!C10)</f>
        <v/>
      </c>
      <c r="C5" s="517">
        <f>IF(ISBLANK(Directions!D10), "Company 1", Directions!D10)</f>
        <v/>
      </c>
      <c r="E5" s="5" t="n"/>
      <c r="F5" s="5" t="n"/>
      <c r="G5" s="5" t="n"/>
      <c r="H5" s="5" t="n"/>
    </row>
    <row r="6">
      <c r="A6" s="9" t="n"/>
      <c r="B6" s="9" t="n"/>
      <c r="C6" s="5" t="n"/>
      <c r="D6" s="5" t="n"/>
      <c r="E6" s="5" t="n"/>
      <c r="F6" s="5" t="n"/>
      <c r="G6" s="5" t="n"/>
      <c r="H6" s="5" t="n"/>
    </row>
    <row r="7" ht="13.8" customHeight="1" thickBot="1">
      <c r="B7" s="506" t="inlineStr">
        <is>
          <t>General Financing Assumptions</t>
        </is>
      </c>
      <c r="C7" s="506" t="inlineStr">
        <is>
          <t>Value</t>
        </is>
      </c>
      <c r="D7" s="506" t="inlineStr">
        <is>
          <t>Findings</t>
        </is>
      </c>
      <c r="E7" s="10" t="n"/>
      <c r="F7" s="10" t="n"/>
      <c r="G7" s="5" t="n"/>
      <c r="H7" s="10" t="n"/>
    </row>
    <row r="8" ht="13.8" customHeight="1" thickTop="1">
      <c r="A8" s="9" t="n"/>
      <c r="B8" s="322" t="inlineStr">
        <is>
          <t>Owner's Cash Injection into the Business</t>
        </is>
      </c>
      <c r="C8" s="381">
        <f>IF('1-StartingPoint'!D42=0,0,'1-StartingPoint'!D34/'1-StartingPoint'!C31)</f>
        <v/>
      </c>
      <c r="D8" s="382">
        <f>IF(C8&gt;0.2,"Owner's injection is reasonable","Owner's injection might be too low in relation to the amount of money needed")</f>
        <v/>
      </c>
      <c r="E8" s="11" t="n"/>
      <c r="F8" s="11" t="n"/>
      <c r="G8" s="5" t="n"/>
      <c r="H8" s="5" t="n"/>
    </row>
    <row r="9">
      <c r="A9" s="9" t="n"/>
      <c r="B9" s="7" t="inlineStr">
        <is>
          <t>Cash Request as percent of Total Required Funds</t>
        </is>
      </c>
      <c r="C9" s="21">
        <f>IF('1-StartingPoint'!C31=0,0,'1-StartingPoint'!C29/'1-StartingPoint'!C31)</f>
        <v/>
      </c>
      <c r="D9" s="13">
        <f>IF(C9&lt;0.2,"Cash request seems reasonable with respect to total request","Cash request exceeds 20% which might be too high")</f>
        <v/>
      </c>
      <c r="E9" s="11" t="n"/>
      <c r="F9" s="11" t="n"/>
      <c r="G9" s="5" t="n"/>
      <c r="H9" s="5" t="n"/>
    </row>
    <row r="10">
      <c r="A10" s="9" t="n"/>
      <c r="B10" s="26" t="n"/>
      <c r="C10" s="263" t="n"/>
      <c r="D10" s="13" t="n"/>
      <c r="E10" s="11" t="n"/>
      <c r="F10" s="11" t="n"/>
      <c r="G10" s="5" t="n"/>
      <c r="H10" s="5" t="n"/>
    </row>
    <row r="11" ht="13.8" customHeight="1" thickBot="1">
      <c r="A11" s="9" t="n"/>
      <c r="B11" s="506" t="inlineStr">
        <is>
          <t>Loan Assumptions</t>
        </is>
      </c>
      <c r="C11" s="506" t="inlineStr">
        <is>
          <t>Value</t>
        </is>
      </c>
      <c r="D11" s="506" t="inlineStr">
        <is>
          <t>Findings</t>
        </is>
      </c>
      <c r="E11" s="11" t="n"/>
      <c r="F11" s="11" t="n"/>
      <c r="G11" s="5" t="n"/>
      <c r="H11" s="5" t="n"/>
    </row>
    <row r="12" ht="13.8" customHeight="1" thickTop="1">
      <c r="A12" s="9" t="n"/>
      <c r="B12" s="322" t="inlineStr">
        <is>
          <t>Commercial Loan Interest rate</t>
        </is>
      </c>
      <c r="C12" s="381">
        <f>'1-StartingPoint'!E37</f>
        <v/>
      </c>
      <c r="D12" s="322">
        <f>IF(C12&lt;0.06,"Interest rate may be too low for the type of loan requested","Interest rate seems reasonable")</f>
        <v/>
      </c>
      <c r="E12" s="5" t="n"/>
      <c r="F12" s="5" t="n"/>
      <c r="G12" s="5" t="n"/>
      <c r="H12" s="5" t="n"/>
    </row>
    <row r="13">
      <c r="A13" s="9" t="n"/>
      <c r="B13" s="7" t="inlineStr">
        <is>
          <t>Commercial Loan Term in Months</t>
        </is>
      </c>
      <c r="C13" s="22">
        <f>'1-StartingPoint'!F37</f>
        <v/>
      </c>
      <c r="D13" s="7">
        <f>IF(C13&gt;120,"Loan term may be too high for this type of loan","Loan term seems within range for this type of loan")</f>
        <v/>
      </c>
      <c r="E13" s="39" t="n"/>
      <c r="F13" s="39" t="n"/>
      <c r="G13" s="5" t="n"/>
      <c r="H13" s="5" t="n"/>
    </row>
    <row r="14">
      <c r="A14" s="9" t="n"/>
      <c r="B14" s="7" t="inlineStr">
        <is>
          <t>Commercial Mortgage Interest rate</t>
        </is>
      </c>
      <c r="C14" s="21">
        <f>'1-StartingPoint'!E38</f>
        <v/>
      </c>
      <c r="D14" s="14">
        <f>IF(C14&lt;0.06,"Interest rate may be too low for type of loan requested","Interest rate seems reasonable")</f>
        <v/>
      </c>
      <c r="E14" s="39" t="n"/>
      <c r="F14" s="39" t="n"/>
      <c r="G14" s="5" t="n"/>
      <c r="H14" s="5" t="n"/>
    </row>
    <row r="15">
      <c r="A15" s="9" t="n"/>
      <c r="B15" s="7" t="inlineStr">
        <is>
          <t>Commercial Mortgage Term in Months</t>
        </is>
      </c>
      <c r="C15" s="23">
        <f>'1-StartingPoint'!F38</f>
        <v/>
      </c>
      <c r="D15" s="15">
        <f>IF(C15&gt;240,"Loan term may be too high for this type of loan","Loan term seems within range for this type of loan")</f>
        <v/>
      </c>
      <c r="E15" s="39" t="n"/>
      <c r="F15" s="39" t="n"/>
      <c r="G15" s="5" t="n"/>
      <c r="H15" s="5" t="n"/>
    </row>
    <row r="16">
      <c r="A16" s="9" t="n"/>
      <c r="B16" s="7" t="inlineStr">
        <is>
          <t>Debt-Service Coverage</t>
        </is>
      </c>
      <c r="C16" s="263">
        <f>FinancialRatios!C13</f>
        <v/>
      </c>
      <c r="D16" s="14">
        <f>IF(C16&gt;1,"Calculated loan payments relative to operating proft may be too high","Calculated loan payments relative to operating profit seem reasonable")</f>
        <v/>
      </c>
      <c r="E16" s="39" t="n"/>
      <c r="F16" s="39" t="n"/>
      <c r="G16" s="5" t="n"/>
      <c r="H16" s="5" t="n"/>
    </row>
    <row r="17">
      <c r="A17" s="9" t="n"/>
      <c r="B17" s="26" t="n"/>
      <c r="C17" s="21" t="n"/>
      <c r="D17" s="14" t="n"/>
      <c r="E17" s="39" t="n"/>
      <c r="F17" s="39" t="n"/>
      <c r="G17" s="5" t="n"/>
      <c r="H17" s="5" t="n"/>
    </row>
    <row r="18" ht="13.8" customHeight="1" thickBot="1">
      <c r="A18" s="9" t="n"/>
      <c r="B18" s="506" t="inlineStr">
        <is>
          <t>Income Statement</t>
        </is>
      </c>
      <c r="C18" s="506" t="inlineStr">
        <is>
          <t>Value</t>
        </is>
      </c>
      <c r="D18" s="506" t="inlineStr">
        <is>
          <t>Findings</t>
        </is>
      </c>
      <c r="E18" s="39" t="n"/>
      <c r="F18" s="39" t="n"/>
      <c r="G18" s="5" t="n"/>
      <c r="H18" s="5" t="n"/>
    </row>
    <row r="19" ht="13.8" customHeight="1" thickTop="1">
      <c r="A19" s="9" t="n"/>
      <c r="B19" s="322" t="inlineStr">
        <is>
          <t>Gross Margin as a Percent of Sales</t>
        </is>
      </c>
      <c r="C19" s="381">
        <f>BreakevenAnalysis!C11</f>
        <v/>
      </c>
      <c r="D19" s="383">
        <f>IF(C19&lt;0.2,"Gross margin percentage seems very low","Gross margin percentage seems reasonable")</f>
        <v/>
      </c>
      <c r="E19" s="39" t="n"/>
      <c r="F19" s="39" t="n"/>
      <c r="G19" s="5" t="n"/>
      <c r="H19" s="5" t="n"/>
    </row>
    <row r="20">
      <c r="A20" s="9" t="n"/>
      <c r="B20" s="7" t="inlineStr">
        <is>
          <t>Owner's Compensation Lower Limit Check</t>
        </is>
      </c>
      <c r="C20" s="271">
        <f>'2a-PayrollYear1'!R8</f>
        <v/>
      </c>
      <c r="D20" s="14">
        <f>IF(C20&gt;0,"An owner's compensation amount has been established","An owner's compensation amount has not been established")</f>
        <v/>
      </c>
      <c r="E20" s="39" t="n"/>
      <c r="F20" s="39" t="n"/>
      <c r="G20" s="5" t="n"/>
      <c r="H20" s="5" t="n"/>
    </row>
    <row r="21">
      <c r="A21" s="9" t="n"/>
      <c r="B21" s="7" t="inlineStr">
        <is>
          <t>Owner's Compensation Upper Limit Check</t>
        </is>
      </c>
      <c r="C21" s="21">
        <f>IF(NetIncomeY1=0,0,'2a-PayrollYear1'!R8/NetIncomeY1)</f>
        <v/>
      </c>
      <c r="D21" s="14">
        <f>IF(C21&gt;1,"Owner's compensation may be too high relative to profitability of business","Owner's compensation seems reasonable")</f>
        <v/>
      </c>
      <c r="E21" s="39" t="n"/>
      <c r="F21" s="39" t="n"/>
      <c r="G21" s="5" t="n"/>
      <c r="H21" s="5" t="n"/>
    </row>
    <row r="22">
      <c r="A22" s="9" t="n"/>
      <c r="B22" s="7" t="inlineStr">
        <is>
          <t>Advertising Expense Levels as a Percent of Sales</t>
        </is>
      </c>
      <c r="C22" s="21">
        <f>IF('7b-IncomeStatementYrs1-3'!C14=0,0,'7b-IncomeStatementYrs1-3'!C26/'7b-IncomeStatementYrs1-3'!C14)</f>
        <v/>
      </c>
      <c r="D22" s="14">
        <f>IF(C22&lt;0.02,"Advertising as a percent of sales may be too low","Advertising as a percent of sales seems reasonable")</f>
        <v/>
      </c>
      <c r="E22" s="39" t="n"/>
      <c r="F22" s="39" t="n"/>
      <c r="G22" s="5" t="n"/>
      <c r="H22" s="5" t="n"/>
    </row>
    <row r="23">
      <c r="A23" s="9" t="n"/>
      <c r="B23" s="7" t="inlineStr">
        <is>
          <t>Profitability Levels</t>
        </is>
      </c>
      <c r="C23" s="271">
        <f>NetIncomeY1</f>
        <v/>
      </c>
      <c r="D23" s="14">
        <f>IF(C23&lt;=0,"The business is not showing a profit","The business is showing a profit")</f>
        <v/>
      </c>
      <c r="E23" s="39" t="n"/>
      <c r="F23" s="39" t="n"/>
      <c r="G23" s="5" t="n"/>
      <c r="H23" s="5" t="n"/>
    </row>
    <row r="24">
      <c r="A24" s="9" t="n"/>
      <c r="B24" s="7" t="inlineStr">
        <is>
          <t>Profitability as a Percent of Sales</t>
        </is>
      </c>
      <c r="C24" s="21">
        <f>IF('7b-IncomeStatementYrs1-3'!C14=0,0,NetIncomeY1/'7b-IncomeStatementYrs1-3'!C14)</f>
        <v/>
      </c>
      <c r="D24" s="14">
        <f>IF(C24&gt;0.2,"The projection may be too aggressive in stating profitability","The projection does not seem highly unreasonable")</f>
        <v/>
      </c>
      <c r="E24" s="39" t="n"/>
      <c r="F24" s="39" t="n"/>
      <c r="G24" s="5" t="n"/>
      <c r="H24" s="5" t="n"/>
    </row>
    <row r="25">
      <c r="A25" s="9" t="n"/>
      <c r="B25" s="26" t="n"/>
      <c r="C25" s="24" t="n"/>
      <c r="D25" s="14" t="n"/>
      <c r="E25" s="39" t="n"/>
      <c r="F25" s="39" t="n"/>
      <c r="G25" s="5" t="n"/>
      <c r="H25" s="5" t="n"/>
    </row>
    <row r="26" ht="13.8" customHeight="1" thickBot="1">
      <c r="A26" s="9" t="n"/>
      <c r="B26" s="506" t="inlineStr">
        <is>
          <t>Cash Flow Statement</t>
        </is>
      </c>
      <c r="C26" s="506" t="inlineStr">
        <is>
          <t>Value</t>
        </is>
      </c>
      <c r="D26" s="506" t="inlineStr">
        <is>
          <t>Findings</t>
        </is>
      </c>
      <c r="E26" s="39" t="n"/>
      <c r="F26" s="39" t="n"/>
      <c r="G26" s="5" t="n"/>
      <c r="H26" s="5" t="n"/>
    </row>
    <row r="27" ht="13.8" customHeight="1" thickTop="1">
      <c r="A27" s="9" t="n"/>
      <c r="B27" s="322" t="inlineStr">
        <is>
          <t>Desired Operating cash Flow Levels</t>
        </is>
      </c>
      <c r="C27" s="384">
        <f>'6a-CashFlowYear1'!O32</f>
        <v/>
      </c>
      <c r="D27" s="383">
        <f>IF(C27&lt;0,"The financial projection does not provide the desired level of cash flow","The financial projection provides the desired level of cash flow")</f>
        <v/>
      </c>
      <c r="E27" s="39" t="n"/>
      <c r="F27" s="39" t="n"/>
      <c r="G27" s="5" t="n"/>
      <c r="H27" s="5" t="n"/>
    </row>
    <row r="28">
      <c r="A28" s="9" t="n"/>
      <c r="B28" s="7" t="inlineStr">
        <is>
          <t>Line of Credit Drawdowns</t>
        </is>
      </c>
      <c r="C28" s="191">
        <f>+C27</f>
        <v/>
      </c>
      <c r="D28" s="14">
        <f>IF(C28&gt;0,"The business will need at least this level of a line of credit","The business doesn't seem to require a line of credit")</f>
        <v/>
      </c>
      <c r="E28" s="39" t="n"/>
      <c r="F28" s="39" t="n"/>
      <c r="G28" s="5" t="n"/>
      <c r="H28" s="5" t="n"/>
    </row>
    <row r="29">
      <c r="A29" s="9" t="n"/>
      <c r="B29" s="7" t="inlineStr">
        <is>
          <t>Accounts Receivable Ratio to Sales</t>
        </is>
      </c>
      <c r="C29" s="21">
        <f>IF('7b-IncomeStatementYrs1-3'!C14=0,0,'8-BalanceSheet'!D10/'7b-IncomeStatementYrs1-3'!C14)</f>
        <v/>
      </c>
      <c r="D29" s="14">
        <f>IF(C29&gt;0.3,"Accounts receivable amounts seem high","Accounts receivable amount as a percent of sales seems reasonable")</f>
        <v/>
      </c>
      <c r="E29" s="39" t="n"/>
      <c r="F29" s="39" t="n"/>
      <c r="G29" s="5" t="n"/>
      <c r="H29" s="5" t="n"/>
    </row>
    <row r="30">
      <c r="A30" s="9" t="n"/>
      <c r="B30" s="26" t="n"/>
      <c r="C30" s="26" t="n"/>
      <c r="D30" s="14" t="n"/>
      <c r="E30" s="39" t="n"/>
      <c r="F30" s="39" t="n"/>
      <c r="G30" s="5" t="n"/>
      <c r="H30" s="5" t="n"/>
    </row>
    <row r="31" ht="13.8" customHeight="1" thickBot="1">
      <c r="A31" s="9" t="n"/>
      <c r="B31" s="506" t="inlineStr">
        <is>
          <t>Balance Sheet</t>
        </is>
      </c>
      <c r="C31" s="506" t="inlineStr">
        <is>
          <t>Value</t>
        </is>
      </c>
      <c r="D31" s="506" t="inlineStr">
        <is>
          <t>Findings</t>
        </is>
      </c>
      <c r="E31" s="39" t="n"/>
      <c r="F31" s="39" t="n"/>
      <c r="G31" s="5" t="n"/>
      <c r="H31" s="5" t="n"/>
    </row>
    <row r="32" ht="13.8" customHeight="1" thickTop="1">
      <c r="A32" s="9" t="n"/>
      <c r="B32" s="322" t="inlineStr">
        <is>
          <t>Does the Year 1 Balance Sheet Balance?</t>
        </is>
      </c>
      <c r="C32" s="385">
        <f>'8-BalanceSheet'!D45</f>
        <v/>
      </c>
      <c r="D32" s="383">
        <f>IF(C32&lt;&gt;0,"The balance sheet is not in balance","The balance sheet does balance")</f>
        <v/>
      </c>
      <c r="E32" s="39" t="n"/>
      <c r="F32" s="39" t="n"/>
      <c r="G32" s="5" t="n"/>
      <c r="H32" s="5" t="n"/>
    </row>
    <row r="33">
      <c r="A33" s="9" t="n"/>
      <c r="B33" s="7" t="inlineStr">
        <is>
          <t>Debt to Equity Ratio</t>
        </is>
      </c>
      <c r="C33" s="21">
        <f>FinancialRatios!C12</f>
        <v/>
      </c>
      <c r="D33" s="14">
        <f>IF(C33&lt;=2, "Very comfortable", IF(C33&lt;=3, "Reasonable", IF(C33&lt;=4, "Getting debt heavy", "Debt heavy")))</f>
        <v/>
      </c>
      <c r="E33" s="39" t="n"/>
      <c r="F33" s="39" t="n"/>
      <c r="G33" s="5" t="n"/>
      <c r="H33" s="5" t="n"/>
    </row>
    <row r="34">
      <c r="A34" s="9" t="n"/>
      <c r="B34" s="26" t="n"/>
      <c r="C34" s="24" t="n"/>
      <c r="D34" s="14" t="n"/>
      <c r="E34" s="39" t="n"/>
      <c r="F34" s="39" t="n"/>
      <c r="G34" s="5" t="n"/>
      <c r="H34" s="5" t="n"/>
    </row>
    <row r="35" ht="13.8" customHeight="1" thickBot="1">
      <c r="A35" s="9" t="n"/>
      <c r="B35" s="506" t="inlineStr">
        <is>
          <t>Breakeven Analysis</t>
        </is>
      </c>
      <c r="C35" s="506" t="inlineStr">
        <is>
          <t>Value</t>
        </is>
      </c>
      <c r="D35" s="506" t="inlineStr">
        <is>
          <t>Findings</t>
        </is>
      </c>
      <c r="E35" s="39" t="n"/>
      <c r="F35" s="39" t="n"/>
      <c r="G35" s="5" t="n"/>
      <c r="H35" s="5" t="n"/>
    </row>
    <row r="36" ht="13.8" customHeight="1" thickTop="1">
      <c r="A36" s="9" t="n"/>
      <c r="B36" s="322" t="inlineStr">
        <is>
          <t>Do Sales Exceed the Breakeven Level?</t>
        </is>
      </c>
      <c r="C36" s="385">
        <f>'7b-IncomeStatementYrs1-3'!C14-BreakevenAnalysis!C19</f>
        <v/>
      </c>
      <c r="D36" s="383">
        <f>IF(C36&gt;0,"The sales projection exceeds the projected break-even sales level","The sales projection is less than the break-even amount")</f>
        <v/>
      </c>
      <c r="E36" s="39" t="n"/>
      <c r="F36" s="39" t="n"/>
      <c r="G36" s="5" t="n"/>
      <c r="H36" s="5" t="n"/>
    </row>
    <row r="37">
      <c r="A37" s="9" t="n"/>
      <c r="B37" s="9" t="n"/>
      <c r="C37" s="39" t="n"/>
      <c r="D37" s="39" t="n"/>
      <c r="E37" s="39" t="n"/>
      <c r="F37" s="39" t="n"/>
      <c r="G37" s="5" t="n"/>
      <c r="H37" s="5" t="n"/>
    </row>
    <row r="38">
      <c r="A38" s="9" t="n"/>
      <c r="B38" s="9" t="n"/>
      <c r="C38" s="39" t="n"/>
      <c r="D38" s="39" t="n"/>
      <c r="E38" s="39" t="n"/>
      <c r="F38" s="39" t="n"/>
      <c r="G38" s="5" t="n"/>
      <c r="H38" s="5" t="n"/>
    </row>
    <row r="39">
      <c r="A39" s="9" t="n"/>
      <c r="B39" s="9" t="n"/>
      <c r="C39" s="39" t="n"/>
      <c r="D39" s="39" t="n"/>
      <c r="E39" s="39" t="n"/>
      <c r="F39" s="39" t="n"/>
      <c r="G39" s="5" t="n"/>
      <c r="H39" s="5" t="n"/>
    </row>
    <row r="40">
      <c r="B40" s="9" t="n"/>
      <c r="C40" s="39" t="n"/>
      <c r="D40" s="39" t="n"/>
    </row>
  </sheetData>
  <sheetProtection selectLockedCells="0" selectUnlockedCells="0" sheet="1" objects="1" insertRows="1" insertHyperlinks="1" autoFilter="1" scenarios="1" formatColumns="0" deleteColumns="1" insertColumns="1" pivotTables="1" deleteRows="1" formatCells="1" formatRows="0" sort="1" password="CC3D"/>
  <mergeCells count="2">
    <mergeCell ref="C5:D5"/>
    <mergeCell ref="C4:D4"/>
  </mergeCells>
  <printOptions horizontalCentered="1" verticalCentered="1"/>
  <pageMargins left="0.25" right="0.25" top="0.75" bottom="0.75" header="0.3" footer="0.3"/>
  <pageSetup orientation="landscape"/>
  <headerFooter scaleWithDoc="0">
    <oddHeader>&amp;C&amp;"Gill Sans MT,Regular"&amp;12 Diagnostic Tools - Year 1</oddHeader>
    <oddFooter>&amp;L&amp;"Gill Sans MT,Regular"&amp;12 &amp;F&amp;C&amp;"Gill Sans MT,Regular"&amp;12 &amp;A&amp;R&amp;"Gill Sans MT,Regular"&amp;12 &amp;D &amp;T</oddFooter>
    <evenHeader/>
    <evenFooter/>
    <firstHeader/>
    <firstFooter/>
  </headerFooter>
</worksheet>
</file>

<file path=xl/worksheets/sheet18.xml><?xml version="1.0" encoding="utf-8"?>
<worksheet xmlns="http://schemas.openxmlformats.org/spreadsheetml/2006/main">
  <sheetPr codeName="Sheet9">
    <tabColor rgb="FF339966"/>
    <outlinePr summaryBelow="1" summaryRight="1"/>
    <pageSetUpPr fitToPage="1"/>
  </sheetPr>
  <dimension ref="B1:I32"/>
  <sheetViews>
    <sheetView zoomScaleNormal="100" zoomScalePageLayoutView="80" workbookViewId="0">
      <selection activeCell="F25" sqref="F25"/>
    </sheetView>
  </sheetViews>
  <sheetFormatPr baseColWidth="8" defaultColWidth="8.83984375" defaultRowHeight="13.5"/>
  <cols>
    <col width="9.15625" customWidth="1" style="78" min="1" max="1"/>
    <col width="66.15625" bestFit="1" customWidth="1" style="78" min="2" max="2"/>
    <col width="30.41796875" bestFit="1" customWidth="1" style="78" min="3" max="3"/>
    <col width="9.15625" customWidth="1" style="78" min="4" max="6"/>
    <col width="9.15625" customWidth="1" style="237" min="7" max="9"/>
    <col width="8.83984375" customWidth="1" style="78" min="10" max="16384"/>
  </cols>
  <sheetData>
    <row r="1">
      <c r="G1" s="78" t="n"/>
      <c r="H1" s="78" t="n"/>
      <c r="I1" s="78" t="n"/>
    </row>
    <row r="2">
      <c r="B2" s="504" t="inlineStr">
        <is>
          <t>COGS Calculator</t>
        </is>
      </c>
      <c r="C2" s="232" t="n"/>
      <c r="G2" s="78" t="n"/>
      <c r="H2" s="78" t="n"/>
      <c r="I2" s="78" t="n"/>
    </row>
    <row r="3">
      <c r="B3" s="232" t="n"/>
      <c r="C3" s="232" t="n"/>
      <c r="G3" s="78" t="n"/>
      <c r="H3" s="78" t="n"/>
      <c r="I3" s="78" t="n"/>
    </row>
    <row r="4" ht="15" customHeight="1">
      <c r="B4" s="504" t="inlineStr">
        <is>
          <t>Prepared By:</t>
        </is>
      </c>
      <c r="C4" s="504" t="inlineStr">
        <is>
          <t>Company Name:</t>
        </is>
      </c>
      <c r="H4" s="78" t="n"/>
      <c r="I4" s="78" t="n"/>
    </row>
    <row r="5">
      <c r="B5" s="517">
        <f>IF(ISBLANK(Directions!C10), "Owner", Directions!C10)</f>
        <v/>
      </c>
      <c r="C5" s="517">
        <f>IF(ISBLANK(Directions!D10), "Company 1", Directions!D10)</f>
        <v/>
      </c>
      <c r="H5" s="269" t="n"/>
      <c r="I5" s="269" t="n"/>
    </row>
    <row r="6" ht="15.75" customHeight="1">
      <c r="B6" s="233" t="n"/>
      <c r="C6" s="233" t="n"/>
      <c r="H6" s="269" t="n"/>
      <c r="I6" s="269" t="n"/>
    </row>
    <row r="7" ht="13.8" customHeight="1" thickBot="1">
      <c r="B7" s="506" t="inlineStr">
        <is>
          <t>Variable Costs of Products</t>
        </is>
      </c>
      <c r="C7" s="520" t="n"/>
      <c r="F7" s="269" t="n"/>
      <c r="G7" s="269" t="n"/>
      <c r="H7" s="269" t="n"/>
      <c r="I7" s="269" t="n"/>
    </row>
    <row r="8" ht="13.8" customHeight="1" thickTop="1">
      <c r="B8" s="119" t="inlineStr">
        <is>
          <t>Timeframe:</t>
        </is>
      </c>
      <c r="C8" s="386" t="inlineStr">
        <is>
          <t>Month</t>
        </is>
      </c>
      <c r="G8" s="78" t="n"/>
      <c r="H8" s="78" t="n"/>
      <c r="I8" s="78" t="n"/>
    </row>
    <row r="9">
      <c r="B9" s="106" t="inlineStr">
        <is>
          <t>Product Line:</t>
        </is>
      </c>
      <c r="C9" s="239" t="inlineStr">
        <is>
          <t>Widget</t>
        </is>
      </c>
      <c r="G9" s="78" t="n"/>
      <c r="H9" s="78" t="n"/>
      <c r="I9" s="78" t="n"/>
    </row>
    <row r="10">
      <c r="B10" s="238" t="inlineStr">
        <is>
          <t xml:space="preserve">Raw materials </t>
        </is>
      </c>
      <c r="C10" s="234" t="n"/>
      <c r="G10" s="78" t="n"/>
      <c r="H10" s="78" t="n"/>
      <c r="I10" s="78" t="n"/>
    </row>
    <row r="11">
      <c r="B11" s="238" t="inlineStr">
        <is>
          <t>Labor used to produce product</t>
        </is>
      </c>
      <c r="C11" s="234" t="n"/>
      <c r="G11" s="78" t="n"/>
      <c r="H11" s="78" t="n"/>
      <c r="I11" s="78" t="n"/>
    </row>
    <row r="12">
      <c r="B12" s="238" t="inlineStr">
        <is>
          <t>Costs associated with shipping and storing raw materials</t>
        </is>
      </c>
      <c r="C12" s="234" t="n"/>
      <c r="G12" s="78" t="n"/>
      <c r="H12" s="78" t="n"/>
      <c r="I12" s="78" t="n"/>
    </row>
    <row r="13">
      <c r="B13" s="238" t="inlineStr">
        <is>
          <t>Production facility expenses (use fraction of total if facility is used for other items)</t>
        </is>
      </c>
      <c r="C13" s="234" t="n"/>
      <c r="G13" s="78" t="n"/>
      <c r="H13" s="78" t="n"/>
      <c r="I13" s="78" t="n"/>
    </row>
    <row r="14">
      <c r="B14" s="235" t="inlineStr">
        <is>
          <t xml:space="preserve">Total Product Expenses </t>
        </is>
      </c>
      <c r="C14" s="60">
        <f>SUM(C10:C13)</f>
        <v/>
      </c>
      <c r="G14" s="78" t="n"/>
      <c r="H14" s="78" t="n"/>
      <c r="I14" s="78" t="n"/>
    </row>
    <row r="15">
      <c r="B15" s="238" t="inlineStr">
        <is>
          <t>Number Units Sold in timeframe used</t>
        </is>
      </c>
      <c r="C15" s="174" t="n"/>
      <c r="G15" s="78" t="n"/>
      <c r="H15" s="78" t="n"/>
      <c r="I15" s="78" t="n"/>
    </row>
    <row r="16">
      <c r="B16" s="240" t="inlineStr">
        <is>
          <t>Cost of Goods Sold Per Unit</t>
        </is>
      </c>
      <c r="C16" s="36">
        <f>IF(C15&gt;0,C14/C15,"Please enter all information.")</f>
        <v/>
      </c>
      <c r="G16" s="78" t="n"/>
      <c r="H16" s="78" t="n"/>
      <c r="I16" s="78" t="n"/>
    </row>
    <row r="17">
      <c r="B17" s="236" t="n"/>
      <c r="C17" s="74" t="n"/>
      <c r="G17" s="78" t="n"/>
      <c r="H17" s="78" t="n"/>
      <c r="I17" s="78" t="n"/>
    </row>
    <row r="18" ht="13.8" customHeight="1" thickBot="1">
      <c r="B18" s="506" t="inlineStr">
        <is>
          <t>Variable Costs of Services</t>
        </is>
      </c>
      <c r="C18" s="520" t="n"/>
      <c r="G18" s="78" t="n"/>
      <c r="H18" s="78" t="n"/>
      <c r="I18" s="78" t="n"/>
    </row>
    <row r="19" ht="13.8" customHeight="1" thickTop="1">
      <c r="B19" s="119" t="inlineStr">
        <is>
          <t>Timeframe:</t>
        </is>
      </c>
      <c r="C19" s="386" t="inlineStr">
        <is>
          <t>Month</t>
        </is>
      </c>
      <c r="G19" s="78" t="n"/>
      <c r="H19" s="78" t="n"/>
      <c r="I19" s="78" t="n"/>
    </row>
    <row r="20">
      <c r="B20" s="106" t="inlineStr">
        <is>
          <t>Product Line:</t>
        </is>
      </c>
      <c r="C20" s="239" t="inlineStr">
        <is>
          <t>Project</t>
        </is>
      </c>
      <c r="G20" s="78" t="n"/>
      <c r="H20" s="78" t="n"/>
      <c r="I20" s="78" t="n"/>
    </row>
    <row r="21">
      <c r="B21" s="238" t="inlineStr">
        <is>
          <t>Amount spent on labor during timeframe</t>
        </is>
      </c>
      <c r="C21" s="234" t="n"/>
      <c r="G21" s="78" t="n"/>
      <c r="H21" s="78" t="n"/>
      <c r="I21" s="78" t="n"/>
    </row>
    <row r="22">
      <c r="B22" s="238" t="inlineStr">
        <is>
          <t>Amount spent on materials during this timeframe</t>
        </is>
      </c>
      <c r="C22" s="234" t="n"/>
      <c r="G22" s="78" t="n"/>
      <c r="H22" s="78" t="n"/>
      <c r="I22" s="78" t="n"/>
    </row>
    <row r="23">
      <c r="B23" s="238" t="inlineStr">
        <is>
          <t>List any other variable costs associated with the delivery of your service during this timeframe.</t>
        </is>
      </c>
      <c r="C23" s="234" t="n"/>
      <c r="G23" s="78" t="n"/>
      <c r="H23" s="78" t="n"/>
      <c r="I23" s="78" t="n"/>
    </row>
    <row r="24">
      <c r="B24" s="235" t="inlineStr">
        <is>
          <t xml:space="preserve">Total Service Expenses </t>
        </is>
      </c>
      <c r="C24" s="60">
        <f>SUM(C21:C23)</f>
        <v/>
      </c>
      <c r="G24" s="78" t="n"/>
      <c r="H24" s="78" t="n"/>
      <c r="I24" s="78" t="n"/>
    </row>
    <row r="25">
      <c r="B25" s="238" t="inlineStr">
        <is>
          <t>Number Units Sold During Timeframe</t>
        </is>
      </c>
      <c r="C25" s="174" t="n"/>
      <c r="G25" s="78" t="n"/>
      <c r="H25" s="78" t="n"/>
      <c r="I25" s="78" t="n"/>
    </row>
    <row r="26">
      <c r="B26" s="240" t="inlineStr">
        <is>
          <t>Cost of Goods Sold Per Unit</t>
        </is>
      </c>
      <c r="C26" s="36">
        <f>IF(C25&gt;0,C24/C25,"Please enter all information.")</f>
        <v/>
      </c>
      <c r="G26" s="78" t="n"/>
      <c r="H26" s="78" t="n"/>
      <c r="I26" s="78" t="n"/>
    </row>
    <row r="27">
      <c r="B27" s="46" t="n"/>
      <c r="C27" s="46" t="n"/>
      <c r="G27" s="78" t="n"/>
      <c r="H27" s="78" t="n"/>
      <c r="I27" s="78" t="n"/>
    </row>
    <row r="28">
      <c r="B28" s="46" t="n"/>
      <c r="C28" s="46" t="n"/>
      <c r="G28" s="78" t="n"/>
      <c r="H28" s="78" t="n"/>
      <c r="I28" s="78" t="n"/>
    </row>
    <row r="29">
      <c r="B29" s="46" t="n"/>
      <c r="C29" s="518" t="inlineStr">
        <is>
          <t>Return to Sales Forecast Year 1</t>
        </is>
      </c>
      <c r="G29" s="78" t="n"/>
      <c r="H29" s="78" t="n"/>
      <c r="I29" s="78" t="n"/>
    </row>
    <row r="30">
      <c r="G30" s="78" t="n"/>
      <c r="H30" s="78" t="n"/>
      <c r="I30" s="78" t="n"/>
    </row>
    <row r="31">
      <c r="G31" s="78" t="n"/>
      <c r="H31" s="78" t="n"/>
      <c r="I31" s="78" t="n"/>
    </row>
    <row r="32">
      <c r="G32" s="78" t="n"/>
      <c r="H32" s="78" t="n"/>
      <c r="I32" s="78" t="n"/>
    </row>
    <row r="33" customFormat="1" s="78"/>
    <row r="34" customFormat="1" s="78"/>
    <row r="35" customFormat="1" s="78"/>
    <row r="36" customFormat="1" s="78"/>
    <row r="37" customFormat="1" s="78"/>
    <row r="38" customFormat="1" s="78"/>
    <row r="39" customFormat="1" s="78"/>
    <row r="40" customFormat="1" s="78"/>
    <row r="41" customFormat="1" s="78"/>
    <row r="42" customFormat="1" s="78"/>
    <row r="43" customFormat="1" s="78"/>
    <row r="44" customFormat="1" s="78"/>
    <row r="45" customFormat="1" s="78"/>
    <row r="46" customFormat="1" s="78"/>
  </sheetData>
  <sheetProtection selectLockedCells="0" selectUnlockedCells="0" sheet="1" objects="1" insertRows="1" insertHyperlinks="1" autoFilter="1" scenarios="1" formatColumns="0" deleteColumns="1" insertColumns="1" pivotTables="1" deleteRows="1" formatCells="1" formatRows="0" sort="1" password="CC3D"/>
  <mergeCells count="3">
    <mergeCell ref="B18:C18"/>
    <mergeCell ref="C29:E31"/>
    <mergeCell ref="B7:C7"/>
  </mergeCells>
  <conditionalFormatting sqref="C25">
    <cfRule type="containsBlanks" priority="7" dxfId="0" stopIfTrue="1">
      <formula>LEN(TRIM(C25))=0</formula>
    </cfRule>
  </conditionalFormatting>
  <conditionalFormatting sqref="C10:C13 C15 C21:C23">
    <cfRule type="containsBlanks" priority="8" dxfId="0" stopIfTrue="1">
      <formula>LEN(TRIM(C10))=0</formula>
    </cfRule>
  </conditionalFormatting>
  <hyperlinks>
    <hyperlink ref="C29" location="'3a-SalesForecastYear1'!A1" display="Return to Sales Forecast Year 1"/>
  </hyperlinks>
  <printOptions horizontalCentered="1"/>
  <pageMargins left="0.25" right="0.25" top="0.75" bottom="0.75" header="0.3" footer="0.3"/>
  <pageSetup orientation="landscape"/>
  <headerFooter scaleWithDoc="0">
    <oddHeader>&amp;C&amp;"Gill Sans MT,Regular"&amp;12 COGS Calculator</oddHeader>
    <oddFooter>&amp;L&amp;"Gill Sans MT,Regular"&amp;12 &amp;F&amp;C&amp;"Gill Sans MT,Regular"&amp;12 &amp;A&amp;R&amp;"Gill Sans MT,Regular"&amp;12 &amp;D &amp;T</oddFooter>
    <evenHeader/>
    <evenFooter/>
    <firstHeader/>
    <firstFooter/>
  </headerFooter>
</worksheet>
</file>

<file path=xl/worksheets/sheet19.xml><?xml version="1.0" encoding="utf-8"?>
<worksheet xmlns="http://schemas.openxmlformats.org/spreadsheetml/2006/main">
  <sheetPr codeName="Sheet20">
    <tabColor rgb="FF339966"/>
    <outlinePr summaryBelow="1" summaryRight="1"/>
    <pageSetUpPr autoPageBreaks="0"/>
  </sheetPr>
  <dimension ref="B2:Q159"/>
  <sheetViews>
    <sheetView zoomScaleNormal="100" zoomScaleSheetLayoutView="40" zoomScalePageLayoutView="70" workbookViewId="0">
      <selection activeCell="H128" sqref="H128"/>
    </sheetView>
  </sheetViews>
  <sheetFormatPr baseColWidth="8" defaultColWidth="9.15625" defaultRowHeight="13.5"/>
  <cols>
    <col width="9.15625" customWidth="1" style="46" min="1" max="1"/>
    <col width="27.68359375" bestFit="1" customWidth="1" style="46" min="2" max="2"/>
    <col width="17.41796875" bestFit="1" customWidth="1" style="46" min="3" max="3"/>
    <col width="9.68359375" customWidth="1" style="46" min="4" max="10"/>
    <col width="10.41796875" bestFit="1" customWidth="1" style="46" min="11" max="11"/>
    <col width="9.68359375" customWidth="1" style="46" min="12" max="14"/>
    <col width="9.26171875" customWidth="1" style="46" min="15" max="15"/>
    <col width="9.15625" customWidth="1" style="46" min="16" max="16384"/>
  </cols>
  <sheetData>
    <row r="2">
      <c r="B2" s="514" t="inlineStr">
        <is>
          <t>Amortization &amp; Depreciation Schedule</t>
        </is>
      </c>
    </row>
    <row r="3">
      <c r="B3" s="241" t="n"/>
    </row>
    <row r="4">
      <c r="B4" s="504" t="inlineStr">
        <is>
          <t>Prepared By:</t>
        </is>
      </c>
      <c r="C4" s="504" t="inlineStr">
        <is>
          <t>Company Name:</t>
        </is>
      </c>
      <c r="E4" s="519" t="inlineStr">
        <is>
          <t>Return to Starting Point</t>
        </is>
      </c>
    </row>
    <row r="5">
      <c r="B5" s="517">
        <f>IF(ISBLANK(Directions!C10), "Owner", Directions!C10)</f>
        <v/>
      </c>
      <c r="C5" s="517">
        <f>IF(ISBLANK(Directions!D10), "Company 1", Directions!D10)</f>
        <v/>
      </c>
    </row>
    <row r="6"/>
    <row r="8" ht="13.8" customHeight="1" thickBot="1">
      <c r="B8" s="506" t="inlineStr">
        <is>
          <t>Commercial Loan</t>
        </is>
      </c>
      <c r="C8" s="520" t="n"/>
      <c r="D8" s="5" t="n"/>
      <c r="E8" s="5" t="n"/>
      <c r="F8" s="5" t="n"/>
      <c r="G8" s="5" t="n"/>
      <c r="H8" s="5" t="n"/>
      <c r="I8" s="5" t="n"/>
      <c r="J8" s="5" t="n"/>
      <c r="K8" s="5" t="n"/>
      <c r="L8" s="5" t="n"/>
      <c r="M8" s="5" t="n"/>
      <c r="N8" s="5" t="n"/>
      <c r="O8" s="5" t="n"/>
      <c r="P8" s="5" t="n"/>
    </row>
    <row r="9" ht="13.8" customHeight="1" thickTop="1">
      <c r="B9" s="150" t="inlineStr">
        <is>
          <t>Principal Amount</t>
        </is>
      </c>
      <c r="C9" s="574">
        <f>CommLoan</f>
        <v/>
      </c>
      <c r="D9" s="5" t="n"/>
      <c r="E9" s="5" t="n"/>
      <c r="F9" s="5" t="n"/>
      <c r="G9" s="5" t="n"/>
      <c r="H9" s="5" t="n"/>
      <c r="I9" s="5" t="n"/>
      <c r="J9" s="5" t="n"/>
      <c r="K9" s="5" t="n"/>
      <c r="L9" s="5" t="n"/>
      <c r="M9" s="5" t="n"/>
      <c r="N9" s="5" t="n"/>
      <c r="O9" s="5" t="n"/>
      <c r="P9" s="5" t="n"/>
    </row>
    <row r="10">
      <c r="B10" s="26" t="inlineStr">
        <is>
          <t>Interest Rate</t>
        </is>
      </c>
      <c r="C10" s="29">
        <f>'1-StartingPoint'!E37</f>
        <v/>
      </c>
      <c r="D10" s="5" t="n"/>
      <c r="E10" s="5" t="n"/>
      <c r="F10" s="5" t="n"/>
      <c r="G10" s="5" t="n"/>
      <c r="H10" s="5" t="n"/>
      <c r="I10" s="5" t="n"/>
      <c r="J10" s="5" t="n"/>
      <c r="K10" s="5" t="n"/>
      <c r="L10" s="5" t="n"/>
      <c r="M10" s="5" t="n"/>
      <c r="N10" s="5" t="n"/>
      <c r="O10" s="5" t="n"/>
      <c r="P10" s="5" t="n"/>
    </row>
    <row r="11">
      <c r="B11" s="26" t="inlineStr">
        <is>
          <t>Loan Term in Months</t>
        </is>
      </c>
      <c r="C11" s="27">
        <f>'1-StartingPoint'!F37</f>
        <v/>
      </c>
      <c r="D11" s="5" t="n"/>
      <c r="E11" s="5" t="n"/>
      <c r="F11" s="5" t="n"/>
      <c r="G11" s="5" t="n"/>
      <c r="H11" s="5" t="n"/>
      <c r="I11" s="5" t="n"/>
      <c r="J11" s="5" t="n"/>
      <c r="K11" s="5" t="n"/>
      <c r="L11" s="5" t="n"/>
      <c r="M11" s="5" t="n"/>
      <c r="N11" s="5" t="n"/>
      <c r="O11" s="5" t="n"/>
      <c r="P11" s="5" t="n"/>
    </row>
    <row r="12">
      <c r="B12" s="26" t="inlineStr">
        <is>
          <t>Monthly Payment Amount</t>
        </is>
      </c>
      <c r="C12" s="577">
        <f>ABS(PMT(C10/12,C11,C9))</f>
        <v/>
      </c>
      <c r="D12" s="5" t="n"/>
      <c r="E12" s="5" t="n"/>
      <c r="F12" s="5" t="n"/>
      <c r="G12" s="5" t="n"/>
      <c r="H12" s="5" t="n"/>
      <c r="I12" s="5" t="n"/>
      <c r="J12" s="5" t="n"/>
      <c r="K12" s="5" t="n"/>
      <c r="L12" s="5" t="n"/>
      <c r="M12" s="5" t="n"/>
      <c r="N12" s="5" t="n"/>
      <c r="O12" s="5" t="n"/>
      <c r="P12" s="5" t="n"/>
    </row>
    <row r="13">
      <c r="B13" s="26" t="n"/>
      <c r="C13" s="43">
        <f>'3a-SalesForecastYear1'!$C$16</f>
        <v/>
      </c>
      <c r="D13" s="43">
        <f>'3a-SalesForecastYear1'!$D$16</f>
        <v/>
      </c>
      <c r="E13" s="43">
        <f>'3a-SalesForecastYear1'!$E$16</f>
        <v/>
      </c>
      <c r="F13" s="43">
        <f>'3a-SalesForecastYear1'!$F$16</f>
        <v/>
      </c>
      <c r="G13" s="43">
        <f>'3a-SalesForecastYear1'!$G$16</f>
        <v/>
      </c>
      <c r="H13" s="43">
        <f>'3a-SalesForecastYear1'!$H$16</f>
        <v/>
      </c>
      <c r="I13" s="43">
        <f>'3a-SalesForecastYear1'!$I$16</f>
        <v/>
      </c>
      <c r="J13" s="43">
        <f>'3a-SalesForecastYear1'!$J$16</f>
        <v/>
      </c>
      <c r="K13" s="43">
        <f>'3a-SalesForecastYear1'!$K$16</f>
        <v/>
      </c>
      <c r="L13" s="43">
        <f>'3a-SalesForecastYear1'!$L$16</f>
        <v/>
      </c>
      <c r="M13" s="43">
        <f>'3a-SalesForecastYear1'!$M$16</f>
        <v/>
      </c>
      <c r="N13" s="43">
        <f>'3a-SalesForecastYear1'!$N$16</f>
        <v/>
      </c>
      <c r="O13" s="43" t="inlineStr">
        <is>
          <t>Totals</t>
        </is>
      </c>
      <c r="P13" s="5" t="n"/>
      <c r="Q13" s="5" t="n"/>
    </row>
    <row r="14">
      <c r="B14" s="26" t="inlineStr">
        <is>
          <t>Year One</t>
        </is>
      </c>
      <c r="C14" s="7" t="n"/>
      <c r="D14" s="7" t="n"/>
      <c r="E14" s="7" t="n"/>
      <c r="F14" s="7" t="n"/>
      <c r="G14" s="7" t="n"/>
      <c r="H14" s="7" t="n"/>
      <c r="I14" s="7" t="n"/>
      <c r="J14" s="7" t="n"/>
      <c r="K14" s="7" t="n"/>
      <c r="L14" s="7" t="n"/>
      <c r="M14" s="7" t="n"/>
      <c r="N14" s="7" t="n"/>
      <c r="O14" s="7" t="n"/>
      <c r="P14" s="5" t="n"/>
      <c r="Q14" s="5" t="n"/>
    </row>
    <row r="15">
      <c r="B15" s="44" t="inlineStr">
        <is>
          <t>Interest</t>
        </is>
      </c>
      <c r="C15" s="41">
        <f>IF($C$11&lt;1,0,ABS(IPMT($C$10/12,1,$C$11,$C$9)))</f>
        <v/>
      </c>
      <c r="D15" s="41">
        <f>IF($C$11&lt;2,0,ABS(IPMT($C$10/12,2,$C$11,$C$9)))</f>
        <v/>
      </c>
      <c r="E15" s="41">
        <f>IF($C$11&lt;3,0,ABS(IPMT($C$10/12,3,$C$11,$C$9)))</f>
        <v/>
      </c>
      <c r="F15" s="41">
        <f>IF($C$11&lt;4,0,ABS(IPMT($C$10/12,4,$C$11,$C$9)))</f>
        <v/>
      </c>
      <c r="G15" s="41">
        <f>IF($C$11&lt;5,0,ABS(IPMT($C$10/12,5,$C$11,$C$9)))</f>
        <v/>
      </c>
      <c r="H15" s="41">
        <f>IF($C$11&lt;6,0,ABS(IPMT($C$10/12,6,$C$11,$C$9)))</f>
        <v/>
      </c>
      <c r="I15" s="41">
        <f>IF($C$11&lt;7,0,ABS(IPMT($C$10/12,7,$C$11,$C$9)))</f>
        <v/>
      </c>
      <c r="J15" s="41">
        <f>IF($C$11&lt;8,0,ABS(IPMT($C$10/12,8,$C$11,$C$9)))</f>
        <v/>
      </c>
      <c r="K15" s="41">
        <f>IF($C$11&lt;9,0,ABS(IPMT($C$10/12,9,$C$11,$C$9)))</f>
        <v/>
      </c>
      <c r="L15" s="41">
        <f>IF($C$11&lt;10,0,ABS(IPMT($C$10/12,10,$C$11,$C$9)))</f>
        <v/>
      </c>
      <c r="M15" s="41">
        <f>IF($C$11&lt;11,0,ABS(IPMT($C$10/12,11,$C$11,$C$9)))</f>
        <v/>
      </c>
      <c r="N15" s="41">
        <f>IF($C$11&lt;12,0,ABS(IPMT($C$10/12,12,$C$11,$C$9)))</f>
        <v/>
      </c>
      <c r="O15" s="315">
        <f>SUM(C15:N15)</f>
        <v/>
      </c>
      <c r="P15" s="5" t="n"/>
      <c r="Q15" s="5" t="n"/>
    </row>
    <row r="16">
      <c r="B16" s="44" t="inlineStr">
        <is>
          <t>Principal</t>
        </is>
      </c>
      <c r="C16" s="41">
        <f>IF($C$11&lt;1,0,ABS(PPMT($C$10/12,1,$C$11,$C$9)))</f>
        <v/>
      </c>
      <c r="D16" s="41">
        <f>IF($C$11&lt;2,0,ABS(PPMT($C$10/12,2,$C$11,$C$9)))</f>
        <v/>
      </c>
      <c r="E16" s="41">
        <f>IF($C$11&lt;3,0,ABS(PPMT($C$10/12,3,$C$11,$C$9)))</f>
        <v/>
      </c>
      <c r="F16" s="41">
        <f>IF($C$11&lt;4,0,ABS(PPMT($C$10/12,4,$C$11,$C$9)))</f>
        <v/>
      </c>
      <c r="G16" s="41">
        <f>IF($C$11&lt;5,0,ABS(PPMT($C$10/12,5,$C$11,$C$9)))</f>
        <v/>
      </c>
      <c r="H16" s="41">
        <f>IF($C$11&lt;6,0,ABS(PPMT($C$10/12,6,$C$11,$C$9)))</f>
        <v/>
      </c>
      <c r="I16" s="41">
        <f>IF($C$11&lt;7,0,ABS(PPMT($C$10/12,7,$C$11,$C$9)))</f>
        <v/>
      </c>
      <c r="J16" s="41">
        <f>IF($C$11&lt;8,0,ABS(PPMT($C$10/12,8,$C$11,$C$9)))</f>
        <v/>
      </c>
      <c r="K16" s="41">
        <f>IF($C$11&lt;9,0,ABS(PPMT($C$10/12,9,$C$11,$C$9)))</f>
        <v/>
      </c>
      <c r="L16" s="41">
        <f>IF($C$11&lt;10,0,ABS(PPMT($C$10/12,10,$C$11,$C$9)))</f>
        <v/>
      </c>
      <c r="M16" s="41">
        <f>IF($C$11&lt;11,0,ABS(PPMT($C$10/12,11,$C$11,$C$9)))</f>
        <v/>
      </c>
      <c r="N16" s="41">
        <f>IF($C$11&lt;12,0,ABS(PPMT($C$10/12,12,$C$11,$C$9)))</f>
        <v/>
      </c>
      <c r="O16" s="315">
        <f>SUM(C16:N16)</f>
        <v/>
      </c>
      <c r="P16" s="5" t="n"/>
      <c r="Q16" s="5" t="n"/>
    </row>
    <row r="17">
      <c r="B17" s="44" t="inlineStr">
        <is>
          <t>Loan Balance</t>
        </is>
      </c>
      <c r="C17" s="42">
        <f>$C$9-C16</f>
        <v/>
      </c>
      <c r="D17" s="42">
        <f>C17-D16</f>
        <v/>
      </c>
      <c r="E17" s="42">
        <f>D17-E16</f>
        <v/>
      </c>
      <c r="F17" s="42">
        <f>E17-F16</f>
        <v/>
      </c>
      <c r="G17" s="42">
        <f>F17-G16</f>
        <v/>
      </c>
      <c r="H17" s="42">
        <f>G17-H16</f>
        <v/>
      </c>
      <c r="I17" s="42">
        <f>H17-I16</f>
        <v/>
      </c>
      <c r="J17" s="42">
        <f>I17-J16</f>
        <v/>
      </c>
      <c r="K17" s="42">
        <f>J17-K16</f>
        <v/>
      </c>
      <c r="L17" s="42">
        <f>K17-L16</f>
        <v/>
      </c>
      <c r="M17" s="42">
        <f>L17-M16</f>
        <v/>
      </c>
      <c r="N17" s="42">
        <f>M17-N16</f>
        <v/>
      </c>
      <c r="O17" s="37" t="n"/>
      <c r="P17" s="5" t="n"/>
      <c r="Q17" s="5" t="n"/>
    </row>
    <row r="18">
      <c r="B18" s="26" t="inlineStr">
        <is>
          <t>Year Two</t>
        </is>
      </c>
      <c r="C18" s="38" t="n"/>
      <c r="D18" s="38" t="n"/>
      <c r="E18" s="38" t="n"/>
      <c r="F18" s="38" t="n"/>
      <c r="G18" s="38" t="n"/>
      <c r="H18" s="38" t="n"/>
      <c r="I18" s="38" t="n"/>
      <c r="J18" s="38" t="n"/>
      <c r="K18" s="38" t="n"/>
      <c r="L18" s="38" t="n"/>
      <c r="M18" s="38" t="n"/>
      <c r="N18" s="38" t="n"/>
      <c r="O18" s="38" t="n"/>
      <c r="P18" s="5" t="n"/>
      <c r="Q18" s="5" t="n"/>
    </row>
    <row r="19">
      <c r="B19" s="44" t="inlineStr">
        <is>
          <t>Interest</t>
        </is>
      </c>
      <c r="C19" s="41">
        <f>IF($C$11&lt;13,0,ABS(IPMT($C$10/12,13,$C$11,$C$9)))</f>
        <v/>
      </c>
      <c r="D19" s="41">
        <f>IF($C$11&lt;14,0,ABS(IPMT($C$10/12,14,$C$11,$C$9)))</f>
        <v/>
      </c>
      <c r="E19" s="41">
        <f>IF($C$11&lt;15,0,ABS(IPMT($C$10/12,15,$C$11,$C$9)))</f>
        <v/>
      </c>
      <c r="F19" s="41">
        <f>IF($C$11&lt;16,0,ABS(IPMT($C$10/12,16,$C$11,$C$9)))</f>
        <v/>
      </c>
      <c r="G19" s="41">
        <f>IF($C$11&lt;17,0,ABS(IPMT($C$10/12,17,$C$11,$C$9)))</f>
        <v/>
      </c>
      <c r="H19" s="41">
        <f>IF($C$11&lt;18,0,ABS(IPMT($C$10/12,18,$C$11,$C$9)))</f>
        <v/>
      </c>
      <c r="I19" s="41">
        <f>IF($C$11&lt;19,0,ABS(IPMT($C$10/12,19,$C$11,$C$9)))</f>
        <v/>
      </c>
      <c r="J19" s="41">
        <f>IF($C$11&lt;20,0,ABS(IPMT($C$10/12,20,$C$11,$C$9)))</f>
        <v/>
      </c>
      <c r="K19" s="41">
        <f>IF($C$11&lt;21,0,ABS(IPMT($C$10/12,21,$C$11,$C$9)))</f>
        <v/>
      </c>
      <c r="L19" s="41">
        <f>IF($C$11&lt;22,0,ABS(IPMT($C$10/12,22,$C$11,$C$9)))</f>
        <v/>
      </c>
      <c r="M19" s="41">
        <f>IF($C$11&lt;23,0,ABS(IPMT($C$10/12,23,$C$11,$C$9)))</f>
        <v/>
      </c>
      <c r="N19" s="41">
        <f>IF($C$11&lt;24,0,ABS(IPMT($C$10/12,24,$C$11,$C$9)))</f>
        <v/>
      </c>
      <c r="O19" s="315">
        <f>SUM(C19:N19)</f>
        <v/>
      </c>
      <c r="P19" s="5" t="n"/>
      <c r="Q19" s="5" t="n"/>
    </row>
    <row r="20">
      <c r="B20" s="44" t="inlineStr">
        <is>
          <t>Principal</t>
        </is>
      </c>
      <c r="C20" s="41">
        <f>IF($C$11&lt;13,0,ABS(PPMT($C$10/12,13,$C$11,$C$9)))</f>
        <v/>
      </c>
      <c r="D20" s="41">
        <f>IF($C$11&lt;14,0,ABS(PPMT($C$10/12,14,$C$11,$C$9)))</f>
        <v/>
      </c>
      <c r="E20" s="41">
        <f>IF($C$11&lt;15,0,ABS(PPMT($C$10/12,15,$C$11,$C$9)))</f>
        <v/>
      </c>
      <c r="F20" s="41">
        <f>IF($C$11&lt;16,0,ABS(PPMT($C$10/12,16,$C$11,$C$9)))</f>
        <v/>
      </c>
      <c r="G20" s="41">
        <f>IF($C$11&lt;17,0,ABS(PPMT($C$10/12,17,$C$11,$C$9)))</f>
        <v/>
      </c>
      <c r="H20" s="41">
        <f>IF($C$11&lt;18,0,ABS(PPMT($C$10/12,18,$C$11,$C$9)))</f>
        <v/>
      </c>
      <c r="I20" s="41">
        <f>IF($C$11&lt;19,0,ABS(PPMT($C$10/12,19,$C$11,$C$9)))</f>
        <v/>
      </c>
      <c r="J20" s="41">
        <f>IF($C$11&lt;20,0,ABS(PPMT($C$10/12,20,$C$11,$C$9)))</f>
        <v/>
      </c>
      <c r="K20" s="41">
        <f>IF($C$11&lt;21,0,ABS(PPMT($C$10/12,21,$C$11,$C$9)))</f>
        <v/>
      </c>
      <c r="L20" s="41">
        <f>IF($C$11&lt;22,0,ABS(PPMT($C$10/12,22,$C$11,$C$9)))</f>
        <v/>
      </c>
      <c r="M20" s="41">
        <f>IF($C$11&lt;23,0,ABS(PPMT($C$10/12,23,$C$11,$C$9)))</f>
        <v/>
      </c>
      <c r="N20" s="41">
        <f>IF($C$11&lt;24,0,ABS(PPMT($C$10/12,24,$C$11,$C$9)))</f>
        <v/>
      </c>
      <c r="O20" s="315">
        <f>SUM(C20:N20)</f>
        <v/>
      </c>
      <c r="P20" s="5" t="n"/>
      <c r="Q20" s="5" t="n"/>
    </row>
    <row r="21">
      <c r="B21" s="44" t="inlineStr">
        <is>
          <t>Loan Balance</t>
        </is>
      </c>
      <c r="C21" s="42">
        <f>N17-C20</f>
        <v/>
      </c>
      <c r="D21" s="42">
        <f>C21-D20</f>
        <v/>
      </c>
      <c r="E21" s="42">
        <f>D21-E20</f>
        <v/>
      </c>
      <c r="F21" s="42">
        <f>E21-F20</f>
        <v/>
      </c>
      <c r="G21" s="42">
        <f>F21-G20</f>
        <v/>
      </c>
      <c r="H21" s="42">
        <f>G21-H20</f>
        <v/>
      </c>
      <c r="I21" s="42">
        <f>H21-I20</f>
        <v/>
      </c>
      <c r="J21" s="42">
        <f>I21-J20</f>
        <v/>
      </c>
      <c r="K21" s="42">
        <f>J21-K20</f>
        <v/>
      </c>
      <c r="L21" s="42">
        <f>K21-L20</f>
        <v/>
      </c>
      <c r="M21" s="42">
        <f>L21-M20</f>
        <v/>
      </c>
      <c r="N21" s="42">
        <f>M21-N20</f>
        <v/>
      </c>
      <c r="O21" s="37" t="n"/>
      <c r="P21" s="5" t="n"/>
      <c r="Q21" s="5" t="n"/>
    </row>
    <row r="22">
      <c r="B22" s="26" t="inlineStr">
        <is>
          <t>Year Three</t>
        </is>
      </c>
      <c r="C22" s="38" t="n"/>
      <c r="D22" s="38" t="n"/>
      <c r="E22" s="38" t="n"/>
      <c r="F22" s="38" t="n"/>
      <c r="G22" s="38" t="n"/>
      <c r="H22" s="38" t="n"/>
      <c r="I22" s="38" t="n"/>
      <c r="J22" s="38" t="n"/>
      <c r="K22" s="38" t="n"/>
      <c r="L22" s="38" t="n"/>
      <c r="M22" s="38" t="n"/>
      <c r="N22" s="38" t="n"/>
      <c r="O22" s="38" t="n"/>
      <c r="P22" s="5" t="n"/>
      <c r="Q22" s="5" t="n"/>
    </row>
    <row r="23">
      <c r="B23" s="44" t="inlineStr">
        <is>
          <t>Interest</t>
        </is>
      </c>
      <c r="C23" s="41">
        <f>IF($C$11&lt;25,0,ABS(IPMT($C$10/12,25,$C$11,$C$9)))</f>
        <v/>
      </c>
      <c r="D23" s="41">
        <f>IF($C$11&lt;26,0,ABS(IPMT($C$10/12,26,$C$11,$C$9)))</f>
        <v/>
      </c>
      <c r="E23" s="41">
        <f>IF($C$11&lt;27,0,ABS(IPMT($C$10/12,27,$C$11,$C$9)))</f>
        <v/>
      </c>
      <c r="F23" s="41">
        <f>IF($C$11&lt;28,0,ABS(IPMT($C$10/12,28,$C$11,$C$9)))</f>
        <v/>
      </c>
      <c r="G23" s="41">
        <f>IF($C$11&lt;29,0,ABS(IPMT($C$10/12,29,$C$11,$C$9)))</f>
        <v/>
      </c>
      <c r="H23" s="41">
        <f>IF($C$11&lt;30,0,ABS(IPMT($C$10/12,30,$C$11,$C$9)))</f>
        <v/>
      </c>
      <c r="I23" s="41">
        <f>IF($C$11&lt;31,0,ABS(IPMT($C$10/12,31,$C$11,$C$9)))</f>
        <v/>
      </c>
      <c r="J23" s="41">
        <f>IF($C$11&lt;32,0,ABS(IPMT($C$10/12,32,$C$11,$C$9)))</f>
        <v/>
      </c>
      <c r="K23" s="41">
        <f>IF($C$11&lt;33,0,ABS(IPMT($C$10/12,33,$C$11,$C$9)))</f>
        <v/>
      </c>
      <c r="L23" s="41">
        <f>IF($C$11&lt;34,0,ABS(IPMT($C$10/12,34,$C$11,$C$9)))</f>
        <v/>
      </c>
      <c r="M23" s="41">
        <f>IF($C$11&lt;35,0,ABS(IPMT($C$10/12,35,$C$11,$C$9)))</f>
        <v/>
      </c>
      <c r="N23" s="41">
        <f>IF($C$11&lt;36,0,ABS(IPMT($C$10/12,36,$C$11,$C$9)))</f>
        <v/>
      </c>
      <c r="O23" s="315">
        <f>SUM(C23:N23)</f>
        <v/>
      </c>
      <c r="P23" s="5" t="n"/>
      <c r="Q23" s="5" t="n"/>
    </row>
    <row r="24">
      <c r="B24" s="44" t="inlineStr">
        <is>
          <t>Principal</t>
        </is>
      </c>
      <c r="C24" s="41">
        <f>IF($C$11&lt;25,0,ABS(PPMT($C$10/12,25,$C$11,$C$9)))</f>
        <v/>
      </c>
      <c r="D24" s="41">
        <f>IF($C$11&lt;26,0,ABS(PPMT($C$10/12,26,$C$11,$C$9)))</f>
        <v/>
      </c>
      <c r="E24" s="41">
        <f>IF($C$11&lt;27,0,ABS(PPMT($C$10/12,27,$C$11,$C$9)))</f>
        <v/>
      </c>
      <c r="F24" s="41">
        <f>IF($C$11&lt;28,0,ABS(PPMT($C$10/12,28,$C$11,$C$9)))</f>
        <v/>
      </c>
      <c r="G24" s="41">
        <f>IF($C$11&lt;29,0,ABS(PPMT($C$10/12,29,$C$11,$C$9)))</f>
        <v/>
      </c>
      <c r="H24" s="41">
        <f>IF($C$11&lt;30,0,ABS(PPMT($C$10/12,30,$C$11,$C$9)))</f>
        <v/>
      </c>
      <c r="I24" s="41">
        <f>IF($C$11&lt;31,0,ABS(PPMT($C$10/12,31,$C$11,$C$9)))</f>
        <v/>
      </c>
      <c r="J24" s="41">
        <f>IF($C$11&lt;32,0,ABS(PPMT($C$10/12,32,$C$11,$C$9)))</f>
        <v/>
      </c>
      <c r="K24" s="41">
        <f>IF($C$11&lt;33,0,ABS(PPMT($C$10/12,33,$C$11,$C$9)))</f>
        <v/>
      </c>
      <c r="L24" s="41">
        <f>IF($C$11&lt;34,0,ABS(PPMT($C$10/12,34,$C$11,$C$9)))</f>
        <v/>
      </c>
      <c r="M24" s="41">
        <f>IF($C$11&lt;35,0,ABS(PPMT($C$10/12,35,$C$11,$C$9)))</f>
        <v/>
      </c>
      <c r="N24" s="41">
        <f>IF($C$11&lt;36,0,ABS(PPMT($C$10/12,36,$C$11,$C$9)))</f>
        <v/>
      </c>
      <c r="O24" s="315">
        <f>SUM(C24:N24)</f>
        <v/>
      </c>
      <c r="P24" s="5" t="n"/>
      <c r="Q24" s="5" t="n"/>
    </row>
    <row r="25">
      <c r="B25" s="44" t="inlineStr">
        <is>
          <t>Loan Balance</t>
        </is>
      </c>
      <c r="C25" s="42">
        <f>N21-C24</f>
        <v/>
      </c>
      <c r="D25" s="42">
        <f>C25-D24</f>
        <v/>
      </c>
      <c r="E25" s="42">
        <f>D25-E24</f>
        <v/>
      </c>
      <c r="F25" s="42">
        <f>E25-F24</f>
        <v/>
      </c>
      <c r="G25" s="42">
        <f>F25-G24</f>
        <v/>
      </c>
      <c r="H25" s="42">
        <f>G25-H24</f>
        <v/>
      </c>
      <c r="I25" s="42">
        <f>H25-I24</f>
        <v/>
      </c>
      <c r="J25" s="42">
        <f>I25-J24</f>
        <v/>
      </c>
      <c r="K25" s="42">
        <f>J25-K24</f>
        <v/>
      </c>
      <c r="L25" s="42">
        <f>K25-L24</f>
        <v/>
      </c>
      <c r="M25" s="42">
        <f>L25-M24</f>
        <v/>
      </c>
      <c r="N25" s="42">
        <f>M25-N24</f>
        <v/>
      </c>
      <c r="O25" s="37" t="n"/>
      <c r="P25" s="5" t="n"/>
      <c r="Q25" s="5" t="n"/>
    </row>
    <row r="26">
      <c r="B26" s="9" t="n"/>
      <c r="C26" s="9" t="n"/>
      <c r="D26" s="5" t="n"/>
      <c r="E26" s="5" t="n"/>
      <c r="F26" s="5" t="n"/>
      <c r="G26" s="5" t="n"/>
      <c r="H26" s="5" t="n"/>
      <c r="I26" s="5" t="n"/>
      <c r="J26" s="5" t="n"/>
      <c r="K26" s="5" t="n"/>
      <c r="L26" s="5" t="n"/>
      <c r="M26" s="5" t="n"/>
      <c r="N26" s="5" t="n"/>
      <c r="O26" s="5" t="n"/>
      <c r="P26" s="5" t="n"/>
      <c r="Q26" s="5" t="n"/>
    </row>
    <row r="27">
      <c r="B27" s="9" t="n"/>
      <c r="C27" s="9" t="n"/>
      <c r="D27" s="39" t="n"/>
      <c r="E27" s="5" t="n"/>
      <c r="F27" s="5" t="n"/>
      <c r="G27" s="5" t="n"/>
      <c r="H27" s="5" t="n"/>
      <c r="I27" s="5" t="n"/>
      <c r="J27" s="5" t="n"/>
      <c r="K27" s="5" t="n"/>
      <c r="L27" s="5" t="n"/>
      <c r="M27" s="5" t="n"/>
      <c r="N27" s="5" t="n"/>
      <c r="O27" s="5" t="n"/>
      <c r="P27" s="5" t="n"/>
      <c r="Q27" s="5" t="n"/>
    </row>
    <row r="28" ht="13.8" customHeight="1" thickBot="1">
      <c r="B28" s="506" t="inlineStr">
        <is>
          <t>Commercial Mortgage</t>
        </is>
      </c>
      <c r="C28" s="520" t="n"/>
      <c r="D28" s="5" t="n"/>
      <c r="E28" s="5" t="n"/>
      <c r="F28" s="5" t="n"/>
      <c r="G28" s="5" t="n"/>
      <c r="H28" s="5" t="n"/>
      <c r="I28" s="5" t="n"/>
      <c r="J28" s="5" t="n"/>
      <c r="K28" s="5" t="n"/>
      <c r="L28" s="5" t="n"/>
      <c r="M28" s="5" t="n"/>
      <c r="N28" s="5" t="n"/>
      <c r="O28" s="5" t="n"/>
      <c r="P28" s="5" t="n"/>
      <c r="Q28" s="5" t="n"/>
    </row>
    <row r="29" ht="13.8" customHeight="1" thickTop="1">
      <c r="B29" s="150" t="inlineStr">
        <is>
          <t>Principal Amount</t>
        </is>
      </c>
      <c r="C29" s="578">
        <f>CommMortgage</f>
        <v/>
      </c>
      <c r="D29" s="5" t="n"/>
      <c r="E29" s="5" t="n"/>
      <c r="F29" s="5" t="n"/>
      <c r="G29" s="5" t="n"/>
      <c r="H29" s="5" t="n"/>
      <c r="I29" s="5" t="n"/>
      <c r="J29" s="5" t="n"/>
      <c r="K29" s="5" t="n"/>
      <c r="L29" s="5" t="n"/>
      <c r="M29" s="5" t="n"/>
      <c r="N29" s="5" t="n"/>
      <c r="O29" s="5" t="n"/>
      <c r="P29" s="5" t="n"/>
      <c r="Q29" s="5" t="n"/>
    </row>
    <row r="30">
      <c r="B30" s="26" t="inlineStr">
        <is>
          <t>Interest Rate</t>
        </is>
      </c>
      <c r="C30" s="29">
        <f>'1-StartingPoint'!E38</f>
        <v/>
      </c>
      <c r="D30" s="5" t="n"/>
      <c r="E30" s="5" t="n"/>
      <c r="F30" s="5" t="n"/>
      <c r="G30" s="5" t="n"/>
      <c r="H30" s="5" t="n"/>
      <c r="I30" s="5" t="n"/>
      <c r="J30" s="5" t="n"/>
      <c r="K30" s="5" t="n"/>
      <c r="L30" s="5" t="n"/>
      <c r="M30" s="5" t="n"/>
      <c r="N30" s="5" t="n"/>
      <c r="O30" s="5" t="n"/>
      <c r="P30" s="5" t="n"/>
      <c r="Q30" s="5" t="n"/>
    </row>
    <row r="31">
      <c r="B31" s="26" t="inlineStr">
        <is>
          <t>Loan Term in Months</t>
        </is>
      </c>
      <c r="C31" s="27">
        <f>'1-StartingPoint'!F38</f>
        <v/>
      </c>
      <c r="D31" s="5" t="n"/>
      <c r="E31" s="5" t="n"/>
      <c r="F31" s="5" t="n"/>
      <c r="G31" s="5" t="n"/>
      <c r="H31" s="5" t="n"/>
      <c r="I31" s="5" t="n"/>
      <c r="J31" s="5" t="n"/>
      <c r="K31" s="5" t="n"/>
      <c r="L31" s="5" t="n"/>
      <c r="M31" s="5" t="n"/>
      <c r="N31" s="5" t="n"/>
      <c r="O31" s="5" t="n"/>
      <c r="P31" s="5" t="n"/>
      <c r="Q31" s="5" t="n"/>
    </row>
    <row r="32">
      <c r="B32" s="26" t="inlineStr">
        <is>
          <t>Monthly Payment Amount</t>
        </is>
      </c>
      <c r="C32" s="577">
        <f>ABS(PMT(C30/12,C31,C29))</f>
        <v/>
      </c>
      <c r="D32" s="5" t="n"/>
      <c r="E32" s="5" t="n"/>
      <c r="F32" s="5" t="n"/>
      <c r="G32" s="5" t="n"/>
      <c r="H32" s="5" t="n"/>
      <c r="I32" s="5" t="n"/>
      <c r="J32" s="5" t="n"/>
      <c r="K32" s="5" t="n"/>
      <c r="L32" s="5" t="n"/>
      <c r="M32" s="5" t="n"/>
      <c r="N32" s="5" t="n"/>
      <c r="O32" s="5" t="n"/>
      <c r="P32" s="5" t="n"/>
      <c r="Q32" s="5" t="n"/>
    </row>
    <row r="33">
      <c r="B33" s="26" t="n"/>
      <c r="C33" s="43">
        <f>'3a-SalesForecastYear1'!$C$16</f>
        <v/>
      </c>
      <c r="D33" s="43">
        <f>'3a-SalesForecastYear1'!$D$16</f>
        <v/>
      </c>
      <c r="E33" s="43">
        <f>'3a-SalesForecastYear1'!$E$16</f>
        <v/>
      </c>
      <c r="F33" s="43">
        <f>'3a-SalesForecastYear1'!$F$16</f>
        <v/>
      </c>
      <c r="G33" s="43">
        <f>'3a-SalesForecastYear1'!$G$16</f>
        <v/>
      </c>
      <c r="H33" s="43">
        <f>'3a-SalesForecastYear1'!$H$16</f>
        <v/>
      </c>
      <c r="I33" s="43">
        <f>'3a-SalesForecastYear1'!$I$16</f>
        <v/>
      </c>
      <c r="J33" s="43">
        <f>'3a-SalesForecastYear1'!$J$16</f>
        <v/>
      </c>
      <c r="K33" s="43">
        <f>'3a-SalesForecastYear1'!$K$16</f>
        <v/>
      </c>
      <c r="L33" s="43">
        <f>'3a-SalesForecastYear1'!$L$16</f>
        <v/>
      </c>
      <c r="M33" s="43">
        <f>'3a-SalesForecastYear1'!$M$16</f>
        <v/>
      </c>
      <c r="N33" s="43">
        <f>'3a-SalesForecastYear1'!$N$16</f>
        <v/>
      </c>
      <c r="O33" s="43" t="inlineStr">
        <is>
          <t>Totals</t>
        </is>
      </c>
      <c r="P33" s="5" t="n"/>
      <c r="Q33" s="5" t="n"/>
    </row>
    <row r="34">
      <c r="B34" s="26" t="inlineStr">
        <is>
          <t>Year One</t>
        </is>
      </c>
      <c r="C34" s="7" t="n"/>
      <c r="D34" s="7" t="n"/>
      <c r="E34" s="7" t="n"/>
      <c r="F34" s="7" t="n"/>
      <c r="G34" s="7" t="n"/>
      <c r="H34" s="7" t="n"/>
      <c r="I34" s="7" t="n"/>
      <c r="J34" s="7" t="n"/>
      <c r="K34" s="7" t="n"/>
      <c r="L34" s="7" t="n"/>
      <c r="M34" s="7" t="n"/>
      <c r="N34" s="7" t="n"/>
      <c r="O34" s="7" t="n"/>
      <c r="P34" s="5" t="n"/>
      <c r="Q34" s="5" t="n"/>
    </row>
    <row r="35">
      <c r="B35" s="44" t="inlineStr">
        <is>
          <t>Interest</t>
        </is>
      </c>
      <c r="C35" s="41">
        <f>ABS(IPMT($C$30/12,1,$C$31,$C$29))</f>
        <v/>
      </c>
      <c r="D35" s="41">
        <f>ABS(IPMT($C$30/12,2,$C$31,$C$29))</f>
        <v/>
      </c>
      <c r="E35" s="41">
        <f>ABS(IPMT($C$30/12,3,$C$31,$C$29))</f>
        <v/>
      </c>
      <c r="F35" s="41">
        <f>ABS(IPMT($C$30/12,4,$C$31,$C$29))</f>
        <v/>
      </c>
      <c r="G35" s="41">
        <f>ABS(IPMT($C$30/12,5,$C$31,$C$29))</f>
        <v/>
      </c>
      <c r="H35" s="41">
        <f>ABS(IPMT($C$30/12,6,$C$31,$C$29))</f>
        <v/>
      </c>
      <c r="I35" s="41">
        <f>ABS(IPMT($C$30/12,7,$C$31,$C$29))</f>
        <v/>
      </c>
      <c r="J35" s="41">
        <f>ABS(IPMT($C$30/12,8,$C$31,$C$29))</f>
        <v/>
      </c>
      <c r="K35" s="41">
        <f>ABS(IPMT($C$30/12,9,$C$31,$C$29))</f>
        <v/>
      </c>
      <c r="L35" s="41">
        <f>ABS(IPMT($C$30/12,10,$C$31,$C$29))</f>
        <v/>
      </c>
      <c r="M35" s="41">
        <f>ABS(IPMT($C$30/12,11,$C$31,$C$29))</f>
        <v/>
      </c>
      <c r="N35" s="41">
        <f>ABS(IPMT($C$30/12,12,$C$31,$C$29))</f>
        <v/>
      </c>
      <c r="O35" s="315">
        <f>SUM(C35:N35)</f>
        <v/>
      </c>
      <c r="P35" s="5" t="n"/>
      <c r="Q35" s="5" t="n"/>
    </row>
    <row r="36">
      <c r="B36" s="44" t="inlineStr">
        <is>
          <t>Principal</t>
        </is>
      </c>
      <c r="C36" s="41">
        <f>ABS(PPMT($C$30/12,1,$C$31,$C$29))</f>
        <v/>
      </c>
      <c r="D36" s="41">
        <f>ABS(PPMT($C$30/12,2,$C$31,$C$29))</f>
        <v/>
      </c>
      <c r="E36" s="41">
        <f>ABS(PPMT($C$30/12,3,$C$31,$C$29))</f>
        <v/>
      </c>
      <c r="F36" s="41">
        <f>ABS(PPMT($C$30/12,4,$C$31,$C$29))</f>
        <v/>
      </c>
      <c r="G36" s="41">
        <f>ABS(PPMT($C$30/12,5,$C$31,$C$29))</f>
        <v/>
      </c>
      <c r="H36" s="41">
        <f>ABS(PPMT($C$30/12,6,$C$31,$C$29))</f>
        <v/>
      </c>
      <c r="I36" s="41">
        <f>ABS(PPMT($C$30/12,7,$C$31,$C$29))</f>
        <v/>
      </c>
      <c r="J36" s="41">
        <f>ABS(PPMT($C$30/12,8,$C$31,$C$29))</f>
        <v/>
      </c>
      <c r="K36" s="41">
        <f>ABS(PPMT($C$30/12,9,$C$31,$C$29))</f>
        <v/>
      </c>
      <c r="L36" s="41">
        <f>ABS(PPMT($C$30/12,10,$C$31,$C$29))</f>
        <v/>
      </c>
      <c r="M36" s="41">
        <f>ABS(PPMT($C$30/12,11,$C$31,$C$29))</f>
        <v/>
      </c>
      <c r="N36" s="41">
        <f>ABS(PPMT($C$30/12,12,$C$31,$C$29))</f>
        <v/>
      </c>
      <c r="O36" s="315">
        <f>SUM(C36:N36)</f>
        <v/>
      </c>
      <c r="P36" s="5" t="n"/>
      <c r="Q36" s="5" t="n"/>
    </row>
    <row r="37">
      <c r="B37" s="44" t="inlineStr">
        <is>
          <t>Loan Balance</t>
        </is>
      </c>
      <c r="C37" s="42">
        <f>$C$29-C36</f>
        <v/>
      </c>
      <c r="D37" s="42">
        <f>C37-D36</f>
        <v/>
      </c>
      <c r="E37" s="42">
        <f>D37-E36</f>
        <v/>
      </c>
      <c r="F37" s="42">
        <f>E37-F36</f>
        <v/>
      </c>
      <c r="G37" s="42">
        <f>F37-G36</f>
        <v/>
      </c>
      <c r="H37" s="42">
        <f>G37-H36</f>
        <v/>
      </c>
      <c r="I37" s="42">
        <f>H37-I36</f>
        <v/>
      </c>
      <c r="J37" s="42">
        <f>I37-J36</f>
        <v/>
      </c>
      <c r="K37" s="42">
        <f>J37-K36</f>
        <v/>
      </c>
      <c r="L37" s="42">
        <f>K37-L36</f>
        <v/>
      </c>
      <c r="M37" s="42">
        <f>L37-M36</f>
        <v/>
      </c>
      <c r="N37" s="42">
        <f>M37-N36</f>
        <v/>
      </c>
      <c r="O37" s="37" t="n"/>
      <c r="P37" s="5" t="n"/>
      <c r="Q37" s="5" t="n"/>
    </row>
    <row r="38">
      <c r="B38" s="26" t="inlineStr">
        <is>
          <t>Year Two</t>
        </is>
      </c>
      <c r="C38" s="38" t="n"/>
      <c r="D38" s="38" t="n"/>
      <c r="E38" s="38" t="n"/>
      <c r="F38" s="38" t="n"/>
      <c r="G38" s="38" t="n"/>
      <c r="H38" s="38" t="n"/>
      <c r="I38" s="38" t="n"/>
      <c r="J38" s="38" t="n"/>
      <c r="K38" s="38" t="n"/>
      <c r="L38" s="38" t="n"/>
      <c r="M38" s="38" t="n"/>
      <c r="N38" s="38" t="n"/>
      <c r="O38" s="38" t="n"/>
      <c r="P38" s="5" t="n"/>
      <c r="Q38" s="5" t="n"/>
    </row>
    <row r="39">
      <c r="B39" s="44" t="inlineStr">
        <is>
          <t>Interest</t>
        </is>
      </c>
      <c r="C39" s="41">
        <f>IF($C$31&lt;13,0,ABS(IPMT($C$30/12,13,$C$31,$C$29)))</f>
        <v/>
      </c>
      <c r="D39" s="41">
        <f>IF($C$31&lt;14,0,ABS(IPMT($C$30/12,14,$C$31,$C$29)))</f>
        <v/>
      </c>
      <c r="E39" s="41">
        <f>IF($C$31&lt;15,0,ABS(IPMT($C$30/12,15,$C$31,$C$29)))</f>
        <v/>
      </c>
      <c r="F39" s="41">
        <f>IF($C$31&lt;16,0,ABS(IPMT($C$30/12,16,$C$31,$C$29)))</f>
        <v/>
      </c>
      <c r="G39" s="41">
        <f>IF($C$31&lt;17,0,ABS(IPMT($C$30/12,17,$C$31,$C$29)))</f>
        <v/>
      </c>
      <c r="H39" s="41">
        <f>IF($C$31&lt;18,0,ABS(IPMT($C$30/12,18,$C$31,$C$29)))</f>
        <v/>
      </c>
      <c r="I39" s="41">
        <f>IF($C$31&lt;19,0,ABS(IPMT($C$30/12,19,$C$31,$C$29)))</f>
        <v/>
      </c>
      <c r="J39" s="41">
        <f>IF($C$31&lt;20,0,ABS(IPMT($C$30/12,20,$C$31,$C$29)))</f>
        <v/>
      </c>
      <c r="K39" s="41">
        <f>IF($C$31&lt;21,0,ABS(IPMT($C$30/12,21,$C$31,$C$29)))</f>
        <v/>
      </c>
      <c r="L39" s="41">
        <f>IF($C$31&lt;22,0,ABS(IPMT($C$30/12,22,$C$31,$C$29)))</f>
        <v/>
      </c>
      <c r="M39" s="41">
        <f>IF($C$31&lt;23,0,ABS(IPMT($C$30/12,23,$C$31,$C$29)))</f>
        <v/>
      </c>
      <c r="N39" s="41">
        <f>IF($C$31&lt;24,0,ABS(IPMT($C$30/12,24,$C$31,$C$29)))</f>
        <v/>
      </c>
      <c r="O39" s="315">
        <f>SUM(C39:N39)</f>
        <v/>
      </c>
      <c r="P39" s="5" t="n"/>
      <c r="Q39" s="5" t="n"/>
    </row>
    <row r="40">
      <c r="B40" s="44" t="inlineStr">
        <is>
          <t>Principal</t>
        </is>
      </c>
      <c r="C40" s="41">
        <f>IF($C$31&lt;13,0,ABS(PPMT($C$30/12,13,$C$31,$C$29)))</f>
        <v/>
      </c>
      <c r="D40" s="41">
        <f>IF($C$31&lt;14,0,ABS(PPMT($C$30/12,14,$C$31,$C$29)))</f>
        <v/>
      </c>
      <c r="E40" s="41">
        <f>IF($C$31&lt;13,0,ABS(PPMT($C$30/12,15,$C$31,$C$29)))</f>
        <v/>
      </c>
      <c r="F40" s="41">
        <f>IF($C$31&lt;16,0,ABS(PPMT($C$30/12,16,$C$31,$C$29)))</f>
        <v/>
      </c>
      <c r="G40" s="41">
        <f>IF($C$31&lt;17,0,ABS(PPMT($C$30/12,17,$C$31,$C$29)))</f>
        <v/>
      </c>
      <c r="H40" s="41">
        <f>IF($C$31&lt;18,0,ABS(PPMT($C$30/12,18,$C$31,$C$29)))</f>
        <v/>
      </c>
      <c r="I40" s="41">
        <f>IF($C$31&lt;19,0,ABS(PPMT($C$30/12,19,$C$31,$C$29)))</f>
        <v/>
      </c>
      <c r="J40" s="41">
        <f>IF($C$31&lt;20,0,ABS(PPMT($C$30/12,20,$C$31,$C$29)))</f>
        <v/>
      </c>
      <c r="K40" s="41">
        <f>IF($C$31&lt;21,0,ABS(PPMT($C$30/12,21,$C$31,$C$29)))</f>
        <v/>
      </c>
      <c r="L40" s="41">
        <f>IF($C$31&lt;22,0,ABS(PPMT($C$30/12,22,$C$31,$C$29)))</f>
        <v/>
      </c>
      <c r="M40" s="41">
        <f>IF($C$31&lt;23,0,ABS(PPMT($C$30/12,23,$C$31,$C$29)))</f>
        <v/>
      </c>
      <c r="N40" s="41">
        <f>IF($C$31&lt;24,0,ABS(PPMT($C$30/12,24,$C$31,$C$29)))</f>
        <v/>
      </c>
      <c r="O40" s="315">
        <f>SUM(C40:N40)</f>
        <v/>
      </c>
      <c r="P40" s="5" t="n"/>
      <c r="Q40" s="5" t="n"/>
    </row>
    <row r="41">
      <c r="B41" s="44" t="inlineStr">
        <is>
          <t>Loan Balance</t>
        </is>
      </c>
      <c r="C41" s="42">
        <f>N37-C40</f>
        <v/>
      </c>
      <c r="D41" s="42">
        <f>C41-D40</f>
        <v/>
      </c>
      <c r="E41" s="42">
        <f>D41-E40</f>
        <v/>
      </c>
      <c r="F41" s="42">
        <f>E41-F40</f>
        <v/>
      </c>
      <c r="G41" s="42">
        <f>F41-G40</f>
        <v/>
      </c>
      <c r="H41" s="42">
        <f>G41-H40</f>
        <v/>
      </c>
      <c r="I41" s="42">
        <f>H41-I40</f>
        <v/>
      </c>
      <c r="J41" s="42">
        <f>I41-J40</f>
        <v/>
      </c>
      <c r="K41" s="42">
        <f>J41-K40</f>
        <v/>
      </c>
      <c r="L41" s="42">
        <f>K41-L40</f>
        <v/>
      </c>
      <c r="M41" s="42">
        <f>L41-M40</f>
        <v/>
      </c>
      <c r="N41" s="42">
        <f>M41-N40</f>
        <v/>
      </c>
      <c r="O41" s="37" t="n"/>
      <c r="P41" s="5" t="n"/>
      <c r="Q41" s="5" t="n"/>
    </row>
    <row r="42">
      <c r="B42" s="26" t="inlineStr">
        <is>
          <t>Year Three</t>
        </is>
      </c>
      <c r="C42" s="38" t="n"/>
      <c r="D42" s="38" t="n"/>
      <c r="E42" s="38" t="n"/>
      <c r="F42" s="38" t="n"/>
      <c r="G42" s="38" t="n"/>
      <c r="H42" s="38" t="n"/>
      <c r="I42" s="38" t="n"/>
      <c r="J42" s="38" t="n"/>
      <c r="K42" s="38" t="n"/>
      <c r="L42" s="38" t="n"/>
      <c r="M42" s="38" t="n"/>
      <c r="N42" s="38" t="n"/>
      <c r="O42" s="38" t="n"/>
      <c r="P42" s="5" t="n"/>
      <c r="Q42" s="5" t="n"/>
    </row>
    <row r="43">
      <c r="B43" s="44" t="inlineStr">
        <is>
          <t>Interest</t>
        </is>
      </c>
      <c r="C43" s="41">
        <f>IF($C$31&lt;25,0,ABS(IPMT($C$30/12,25,$C$31,$C$29)))</f>
        <v/>
      </c>
      <c r="D43" s="41">
        <f>IF($C$31&lt;26,0,ABS(IPMT($C$30/12,26,$C$31,$C$29)))</f>
        <v/>
      </c>
      <c r="E43" s="41">
        <f>IF($C$31&lt;27,0,ABS(IPMT($C$30/12,27,$C$31,$C$29)))</f>
        <v/>
      </c>
      <c r="F43" s="41">
        <f>IF($C$31&lt;28,0,ABS(IPMT($C$30/12,28,$C$31,$C$29)))</f>
        <v/>
      </c>
      <c r="G43" s="41">
        <f>IF($C$31&lt;29,0,ABS(IPMT($C$30/12,29,$C$31,$C$29)))</f>
        <v/>
      </c>
      <c r="H43" s="41">
        <f>IF($C$31&lt;29,0,ABS(IPMT($C$30/12,30,$C$31,$C$29)))</f>
        <v/>
      </c>
      <c r="I43" s="41">
        <f>IF($C$31&lt;30,0,ABS(IPMT($C$30/12,31,$C$31,$C$29)))</f>
        <v/>
      </c>
      <c r="J43" s="41">
        <f>IF($C$31&lt;31,0,ABS(IPMT($C$30/12,32,$C$31,$C$29)))</f>
        <v/>
      </c>
      <c r="K43" s="41">
        <f>IF($C$31&lt;32,0,ABS(IPMT($C$30/12,33,$C$31,$C$29)))</f>
        <v/>
      </c>
      <c r="L43" s="41">
        <f>IF($C$31&lt;33,0,ABS(IPMT($C$30/12,34,$C$31,$C$29)))</f>
        <v/>
      </c>
      <c r="M43" s="41">
        <f>IF($C$31&lt;34,0,ABS(IPMT($C$30/12,35,$C$31,$C$29)))</f>
        <v/>
      </c>
      <c r="N43" s="41">
        <f>IF($C$31&lt;35,0,ABS(IPMT($C$30/12,36,$C$31,$C$29)))</f>
        <v/>
      </c>
      <c r="O43" s="315">
        <f>SUM(C43:N43)</f>
        <v/>
      </c>
      <c r="P43" s="5" t="n"/>
      <c r="Q43" s="5" t="n"/>
    </row>
    <row r="44">
      <c r="B44" s="44" t="inlineStr">
        <is>
          <t>Principal</t>
        </is>
      </c>
      <c r="C44" s="41">
        <f>IF($C$31&lt;25,0,ABS(PPMT($C$30/12,25,$C$31,$C$29)))</f>
        <v/>
      </c>
      <c r="D44" s="41">
        <f>IF($C$31&lt;26,0,ABS(PPMT($C$30/12,26,$C$31,$C$29)))</f>
        <v/>
      </c>
      <c r="E44" s="41">
        <f>IF($C$31&lt;27,0,ABS(PPMT($C$30/12,27,$C$31,$C$29)))</f>
        <v/>
      </c>
      <c r="F44" s="41">
        <f>IF($C$31&lt;28,0,ABS(PPMT($C$30/12,28,$C$31,$C$29)))</f>
        <v/>
      </c>
      <c r="G44" s="41">
        <f>IF($C$31&lt;28,0,ABS(PPMT($C$30/12,29,$C$31,$C$29)))</f>
        <v/>
      </c>
      <c r="H44" s="41">
        <f>IF($C$31&lt;29,0,ABS(PPMT($C$30/12,30,$C$31,$C$29)))</f>
        <v/>
      </c>
      <c r="I44" s="41">
        <f>IF($C$31&lt;30,0,ABS(PPMT($C$30/12,31,$C$31,$C$29)))</f>
        <v/>
      </c>
      <c r="J44" s="41">
        <f>IF($C$31&lt;31,0,ABS(PPMT($C$30/12,32,$C$31,$C$29)))</f>
        <v/>
      </c>
      <c r="K44" s="41">
        <f>IF($C$31&lt;32,0,ABS(PPMT($C$30/12,33,$C$31,$C$29)))</f>
        <v/>
      </c>
      <c r="L44" s="41">
        <f>IF($C$31&lt;33,0,ABS(PPMT($C$30/12,34,$C$31,$C$29)))</f>
        <v/>
      </c>
      <c r="M44" s="41">
        <f>IF($C$31&lt;34,0,ABS(PPMT($C$30/12,35,$C$31,$C$29)))</f>
        <v/>
      </c>
      <c r="N44" s="41">
        <f>IF($C$31&lt;35,0,ABS(PPMT($C$30/12,36,$C$31,$C$29)))</f>
        <v/>
      </c>
      <c r="O44" s="315">
        <f>SUM(C44:N44)</f>
        <v/>
      </c>
      <c r="P44" s="5" t="n"/>
      <c r="Q44" s="5" t="n"/>
    </row>
    <row r="45">
      <c r="B45" s="44" t="inlineStr">
        <is>
          <t>Loan Balance</t>
        </is>
      </c>
      <c r="C45" s="42">
        <f>N41-C44</f>
        <v/>
      </c>
      <c r="D45" s="42">
        <f>C45-D44</f>
        <v/>
      </c>
      <c r="E45" s="42">
        <f>D45-E44</f>
        <v/>
      </c>
      <c r="F45" s="42">
        <f>E45-F44</f>
        <v/>
      </c>
      <c r="G45" s="42">
        <f>F45-G44</f>
        <v/>
      </c>
      <c r="H45" s="42">
        <f>G45-H44</f>
        <v/>
      </c>
      <c r="I45" s="42">
        <f>H45-I44</f>
        <v/>
      </c>
      <c r="J45" s="42">
        <f>I45-J44</f>
        <v/>
      </c>
      <c r="K45" s="42">
        <f>J45-K44</f>
        <v/>
      </c>
      <c r="L45" s="42">
        <f>K45-L44</f>
        <v/>
      </c>
      <c r="M45" s="42">
        <f>L45-M44</f>
        <v/>
      </c>
      <c r="N45" s="42">
        <f>M45-N44</f>
        <v/>
      </c>
      <c r="O45" s="37" t="n"/>
      <c r="P45" s="5" t="n"/>
      <c r="Q45" s="5" t="n"/>
    </row>
    <row r="46">
      <c r="B46" s="9" t="n"/>
      <c r="C46" s="9" t="n"/>
      <c r="D46" s="5" t="n"/>
      <c r="E46" s="5" t="n"/>
      <c r="F46" s="5" t="n"/>
      <c r="G46" s="5" t="n"/>
      <c r="H46" s="5" t="n"/>
      <c r="I46" s="5" t="n"/>
      <c r="J46" s="5" t="n"/>
      <c r="K46" s="5" t="n"/>
      <c r="L46" s="5" t="n"/>
      <c r="M46" s="5" t="n"/>
      <c r="N46" s="5" t="n"/>
      <c r="O46" s="5" t="n"/>
      <c r="P46" s="5" t="n"/>
      <c r="Q46" s="5" t="n"/>
    </row>
    <row r="47">
      <c r="B47" s="9" t="n"/>
      <c r="C47" s="9" t="n"/>
      <c r="D47" s="5" t="n"/>
      <c r="E47" s="5" t="n"/>
      <c r="F47" s="5" t="n"/>
      <c r="G47" s="5" t="n"/>
      <c r="H47" s="5" t="n"/>
      <c r="I47" s="5" t="n"/>
      <c r="J47" s="5" t="n"/>
      <c r="K47" s="5" t="n"/>
      <c r="L47" s="5" t="n"/>
      <c r="M47" s="5" t="n"/>
      <c r="N47" s="5" t="n"/>
      <c r="O47" s="5" t="n"/>
      <c r="P47" s="5" t="n"/>
      <c r="Q47" s="5" t="n"/>
    </row>
    <row r="48" ht="13.8" customHeight="1" thickBot="1">
      <c r="B48" s="506" t="inlineStr">
        <is>
          <t>Credit Card Debt</t>
        </is>
      </c>
      <c r="C48" s="520" t="n"/>
      <c r="D48" s="5" t="n"/>
      <c r="E48" s="5" t="n"/>
      <c r="F48" s="5" t="n"/>
      <c r="G48" s="5" t="n"/>
      <c r="H48" s="5" t="n"/>
      <c r="I48" s="5" t="n"/>
      <c r="J48" s="5" t="n"/>
      <c r="K48" s="5" t="n"/>
      <c r="L48" s="5" t="n"/>
      <c r="M48" s="5" t="n"/>
      <c r="N48" s="5" t="n"/>
      <c r="O48" s="5" t="n"/>
      <c r="P48" s="5" t="n"/>
      <c r="Q48" s="5" t="n"/>
    </row>
    <row r="49" ht="13.8" customHeight="1" thickTop="1">
      <c r="B49" s="150" t="inlineStr">
        <is>
          <t>Principal Amount</t>
        </is>
      </c>
      <c r="C49" s="578">
        <f>CCDebt</f>
        <v/>
      </c>
      <c r="D49" s="5" t="n"/>
      <c r="E49" s="5" t="n"/>
      <c r="F49" s="5" t="n"/>
      <c r="G49" s="5" t="n"/>
      <c r="H49" s="5" t="n"/>
      <c r="I49" s="5" t="n"/>
      <c r="J49" s="5" t="n"/>
      <c r="K49" s="5" t="n"/>
      <c r="L49" s="5" t="n"/>
      <c r="M49" s="5" t="n"/>
      <c r="N49" s="5" t="n"/>
      <c r="O49" s="5" t="n"/>
      <c r="P49" s="5" t="n"/>
      <c r="Q49" s="5" t="n"/>
    </row>
    <row r="50">
      <c r="B50" s="26" t="inlineStr">
        <is>
          <t>Interest Rate</t>
        </is>
      </c>
      <c r="C50" s="29">
        <f>'1-StartingPoint'!E39</f>
        <v/>
      </c>
      <c r="D50" s="5" t="n"/>
      <c r="E50" s="5" t="n"/>
      <c r="F50" s="5" t="n"/>
      <c r="G50" s="5" t="n"/>
      <c r="H50" s="5" t="n"/>
      <c r="I50" s="5" t="n"/>
      <c r="J50" s="5" t="n"/>
      <c r="K50" s="5" t="n"/>
      <c r="L50" s="5" t="n"/>
      <c r="M50" s="5" t="n"/>
      <c r="N50" s="5" t="n"/>
      <c r="O50" s="5" t="n"/>
      <c r="P50" s="5" t="n"/>
      <c r="Q50" s="5" t="n"/>
    </row>
    <row r="51">
      <c r="B51" s="26" t="inlineStr">
        <is>
          <t>Loan Term in Months</t>
        </is>
      </c>
      <c r="C51" s="27">
        <f>'1-StartingPoint'!F39</f>
        <v/>
      </c>
      <c r="D51" s="5" t="n"/>
      <c r="E51" s="5" t="n"/>
      <c r="F51" s="5" t="n"/>
      <c r="G51" s="5" t="n"/>
      <c r="H51" s="5" t="n"/>
      <c r="I51" s="5" t="n"/>
      <c r="J51" s="5" t="n"/>
      <c r="K51" s="5" t="n"/>
      <c r="L51" s="5" t="n"/>
      <c r="M51" s="5" t="n"/>
      <c r="N51" s="5" t="n"/>
      <c r="O51" s="5" t="n"/>
      <c r="P51" s="5" t="n"/>
      <c r="Q51" s="5" t="n"/>
    </row>
    <row r="52">
      <c r="B52" s="26" t="inlineStr">
        <is>
          <t>Monthly Payment Amount</t>
        </is>
      </c>
      <c r="C52" s="577">
        <f>ABS(PMT(C50/12,C51,C49))</f>
        <v/>
      </c>
      <c r="D52" s="5" t="n"/>
      <c r="E52" s="5" t="n"/>
      <c r="F52" s="5" t="n"/>
      <c r="G52" s="5" t="n"/>
      <c r="H52" s="5" t="n"/>
      <c r="I52" s="5" t="n"/>
      <c r="J52" s="5" t="n"/>
      <c r="K52" s="5" t="n"/>
      <c r="L52" s="5" t="n"/>
      <c r="M52" s="5" t="n"/>
      <c r="N52" s="5" t="n"/>
      <c r="O52" s="5" t="n"/>
      <c r="P52" s="5" t="n"/>
      <c r="Q52" s="5" t="n"/>
    </row>
    <row r="53">
      <c r="B53" s="26" t="n"/>
      <c r="C53" s="43">
        <f>'3a-SalesForecastYear1'!$C$16</f>
        <v/>
      </c>
      <c r="D53" s="43">
        <f>'3a-SalesForecastYear1'!$D$16</f>
        <v/>
      </c>
      <c r="E53" s="43">
        <f>'3a-SalesForecastYear1'!$E$16</f>
        <v/>
      </c>
      <c r="F53" s="43">
        <f>'3a-SalesForecastYear1'!$F$16</f>
        <v/>
      </c>
      <c r="G53" s="43">
        <f>'3a-SalesForecastYear1'!$G$16</f>
        <v/>
      </c>
      <c r="H53" s="43">
        <f>'3a-SalesForecastYear1'!$H$16</f>
        <v/>
      </c>
      <c r="I53" s="43">
        <f>'3a-SalesForecastYear1'!$I$16</f>
        <v/>
      </c>
      <c r="J53" s="43">
        <f>'3a-SalesForecastYear1'!$J$16</f>
        <v/>
      </c>
      <c r="K53" s="43">
        <f>'3a-SalesForecastYear1'!$K$16</f>
        <v/>
      </c>
      <c r="L53" s="43">
        <f>'3a-SalesForecastYear1'!$L$16</f>
        <v/>
      </c>
      <c r="M53" s="43">
        <f>'3a-SalesForecastYear1'!$M$16</f>
        <v/>
      </c>
      <c r="N53" s="43">
        <f>'3a-SalesForecastYear1'!$N$16</f>
        <v/>
      </c>
      <c r="O53" s="43" t="inlineStr">
        <is>
          <t>Totals</t>
        </is>
      </c>
      <c r="P53" s="5" t="n"/>
      <c r="Q53" s="5" t="n"/>
    </row>
    <row r="54">
      <c r="B54" s="26" t="inlineStr">
        <is>
          <t>Year One</t>
        </is>
      </c>
      <c r="C54" s="7" t="n"/>
      <c r="D54" s="7" t="n"/>
      <c r="E54" s="7" t="n"/>
      <c r="F54" s="7" t="n"/>
      <c r="G54" s="7" t="n"/>
      <c r="H54" s="7" t="n"/>
      <c r="I54" s="7" t="n"/>
      <c r="J54" s="7" t="n"/>
      <c r="K54" s="7" t="n"/>
      <c r="L54" s="7" t="n"/>
      <c r="M54" s="7" t="n"/>
      <c r="N54" s="7" t="n"/>
      <c r="O54" s="7" t="n"/>
      <c r="P54" s="5" t="n"/>
      <c r="Q54" s="5" t="n"/>
    </row>
    <row r="55">
      <c r="B55" s="44" t="inlineStr">
        <is>
          <t>Interest</t>
        </is>
      </c>
      <c r="C55" s="41">
        <f>ABS(IPMT($C$50/12,1,$C$51,$C$49))</f>
        <v/>
      </c>
      <c r="D55" s="41">
        <f>ABS(IPMT($C$50/12,2,$C$51,$C$49))</f>
        <v/>
      </c>
      <c r="E55" s="41">
        <f>ABS(IPMT($C$50/12,3,$C$51,$C$49))</f>
        <v/>
      </c>
      <c r="F55" s="41">
        <f>ABS(IPMT($C$50/12,4,$C$51,$C$49))</f>
        <v/>
      </c>
      <c r="G55" s="41">
        <f>ABS(IPMT($C$50/12,5,$C$51,$C$49))</f>
        <v/>
      </c>
      <c r="H55" s="41">
        <f>ABS(IPMT($C$50/12,6,$C$51,$C$49))</f>
        <v/>
      </c>
      <c r="I55" s="41">
        <f>ABS(IPMT($C$50/12,7,$C$51,$C$49))</f>
        <v/>
      </c>
      <c r="J55" s="41">
        <f>ABS(IPMT($C$50/12,8,$C$51,$C$49))</f>
        <v/>
      </c>
      <c r="K55" s="41">
        <f>ABS(IPMT($C$50/12,9,$C$51,$C$49))</f>
        <v/>
      </c>
      <c r="L55" s="41">
        <f>ABS(IPMT($C$50/12,10,$C$51,$C$49))</f>
        <v/>
      </c>
      <c r="M55" s="41">
        <f>ABS(IPMT($C$50/12,11,$C$51,$C$49))</f>
        <v/>
      </c>
      <c r="N55" s="41">
        <f>ABS(IPMT($C$50/12,12,$C$51,$C$49))</f>
        <v/>
      </c>
      <c r="O55" s="315">
        <f>SUM(C55:N55)</f>
        <v/>
      </c>
      <c r="P55" s="5" t="n"/>
      <c r="Q55" s="5" t="n"/>
    </row>
    <row r="56">
      <c r="B56" s="44" t="inlineStr">
        <is>
          <t>Principal</t>
        </is>
      </c>
      <c r="C56" s="41">
        <f>ABS(PPMT($C$50/12,1,$C$51,$C$49))</f>
        <v/>
      </c>
      <c r="D56" s="41">
        <f>ABS(PPMT($C$50/12,2,$C$51,$C$49))</f>
        <v/>
      </c>
      <c r="E56" s="41">
        <f>ABS(PPMT($C$50/12,3,$C$51,$C$49))</f>
        <v/>
      </c>
      <c r="F56" s="41">
        <f>ABS(PPMT($C$50/12,4,$C$51,$C$49))</f>
        <v/>
      </c>
      <c r="G56" s="41">
        <f>ABS(PPMT($C$50/12,5,$C$51,$C$49))</f>
        <v/>
      </c>
      <c r="H56" s="41">
        <f>ABS(PPMT($C$50/12,6,$C$51,$C$49))</f>
        <v/>
      </c>
      <c r="I56" s="41">
        <f>ABS(PPMT($C$50/12,7,$C$51,$C$49))</f>
        <v/>
      </c>
      <c r="J56" s="41">
        <f>ABS(PPMT($C$50/12,8,$C$51,$C$49))</f>
        <v/>
      </c>
      <c r="K56" s="41">
        <f>ABS(PPMT($C$50/12,9,$C$51,$C$49))</f>
        <v/>
      </c>
      <c r="L56" s="41">
        <f>ABS(PPMT($C$50/12,10,$C$51,$C$49))</f>
        <v/>
      </c>
      <c r="M56" s="41">
        <f>ABS(PPMT($C$50/12,11,$C$51,$C$49))</f>
        <v/>
      </c>
      <c r="N56" s="41">
        <f>ABS(PPMT($C$50/12,12,$C$51,$C$49))</f>
        <v/>
      </c>
      <c r="O56" s="315">
        <f>SUM(C56:N56)</f>
        <v/>
      </c>
      <c r="P56" s="5" t="n"/>
      <c r="Q56" s="5" t="n"/>
    </row>
    <row r="57">
      <c r="B57" s="44" t="inlineStr">
        <is>
          <t>Loan Balance</t>
        </is>
      </c>
      <c r="C57" s="42">
        <f>$C$49-C56</f>
        <v/>
      </c>
      <c r="D57" s="42">
        <f>C57-D56</f>
        <v/>
      </c>
      <c r="E57" s="42">
        <f>D57-E56</f>
        <v/>
      </c>
      <c r="F57" s="42">
        <f>E57-F56</f>
        <v/>
      </c>
      <c r="G57" s="42">
        <f>F57-G56</f>
        <v/>
      </c>
      <c r="H57" s="42">
        <f>G57-H56</f>
        <v/>
      </c>
      <c r="I57" s="42">
        <f>H57-I56</f>
        <v/>
      </c>
      <c r="J57" s="42">
        <f>I57-J56</f>
        <v/>
      </c>
      <c r="K57" s="42">
        <f>J57-K56</f>
        <v/>
      </c>
      <c r="L57" s="42">
        <f>K57-L56</f>
        <v/>
      </c>
      <c r="M57" s="42">
        <f>L57-M56</f>
        <v/>
      </c>
      <c r="N57" s="42">
        <f>M57-N56</f>
        <v/>
      </c>
      <c r="O57" s="37" t="n"/>
      <c r="P57" s="5" t="n"/>
      <c r="Q57" s="5" t="n"/>
    </row>
    <row r="58">
      <c r="B58" s="26" t="inlineStr">
        <is>
          <t>Year Two</t>
        </is>
      </c>
      <c r="C58" s="38" t="n"/>
      <c r="D58" s="38" t="n"/>
      <c r="E58" s="38" t="n"/>
      <c r="F58" s="38" t="n"/>
      <c r="G58" s="38" t="n"/>
      <c r="H58" s="38" t="n"/>
      <c r="I58" s="38" t="n"/>
      <c r="J58" s="38" t="n"/>
      <c r="K58" s="38" t="n"/>
      <c r="L58" s="38" t="n"/>
      <c r="M58" s="38" t="n"/>
      <c r="N58" s="38" t="n"/>
      <c r="O58" s="38" t="n"/>
      <c r="P58" s="5" t="n"/>
      <c r="Q58" s="5" t="n"/>
    </row>
    <row r="59">
      <c r="B59" s="44" t="inlineStr">
        <is>
          <t>Interest</t>
        </is>
      </c>
      <c r="C59" s="41">
        <f>IF($C$51&lt;13,0,ABS(IPMT($C$50/12,13,$C$51,$C$49)))</f>
        <v/>
      </c>
      <c r="D59" s="41">
        <f>IF($C$51&lt;14,0,ABS(IPMT($C$50/12,14,$C$51,$C$49)))</f>
        <v/>
      </c>
      <c r="E59" s="41">
        <f>IF($C$51&lt;15,0,ABS(IPMT($C$50/12,15,$C$51,$C$49)))</f>
        <v/>
      </c>
      <c r="F59" s="41">
        <f>IF($C$51&lt;16,0,ABS(IPMT($C$50/12,16,$C$51,$C$49)))</f>
        <v/>
      </c>
      <c r="G59" s="41">
        <f>IF($C$51&lt;17,0,ABS(IPMT($C$50/12,17,$C$51,$C$49)))</f>
        <v/>
      </c>
      <c r="H59" s="41">
        <f>IF($C$51&lt;18,0,ABS(IPMT($C$50/12,18,$C$51,$C$49)))</f>
        <v/>
      </c>
      <c r="I59" s="41">
        <f>IF($C$51&lt;19,0,ABS(IPMT($C$50/12,19,$C$51,$C$49)))</f>
        <v/>
      </c>
      <c r="J59" s="41">
        <f>IF($C$51&lt;20,0,ABS(IPMT($C$50/12,20,$C$51,$C$49)))</f>
        <v/>
      </c>
      <c r="K59" s="41">
        <f>IF($C$51&lt;21,0,ABS(IPMT($C$50/12,21,$C$51,$C$49)))</f>
        <v/>
      </c>
      <c r="L59" s="41">
        <f>IF($C$51&lt;22,0,ABS(IPMT($C$50/12,22,$C$51,$C$49)))</f>
        <v/>
      </c>
      <c r="M59" s="41">
        <f>IF($C$51&lt;23,0,ABS(IPMT($C$50/23,11,$C$51,$C$49)))</f>
        <v/>
      </c>
      <c r="N59" s="41">
        <f>IF($C$51&lt;24,0,ABS(IPMT($C$50/12,24,$C$51,$C$49)))</f>
        <v/>
      </c>
      <c r="O59" s="315">
        <f>SUM(C59:N59)</f>
        <v/>
      </c>
      <c r="P59" s="5" t="n"/>
      <c r="Q59" s="5" t="n"/>
    </row>
    <row r="60">
      <c r="B60" s="44" t="inlineStr">
        <is>
          <t>Principal</t>
        </is>
      </c>
      <c r="C60" s="41">
        <f>IF($C$51&lt;13,0,ABS(PPMT($C$50/12,13,$C$51,$C$49)))</f>
        <v/>
      </c>
      <c r="D60" s="41">
        <f>IF($C$51&lt;14,0,ABS(PPMT($C$50/12,14,$C$51,$C$49)))</f>
        <v/>
      </c>
      <c r="E60" s="41">
        <f>IF($C$51&lt;15,0,ABS(PPMT($C$50/12,15,$C$51,$C$49)))</f>
        <v/>
      </c>
      <c r="F60" s="41">
        <f>IF($C$51&lt;16,0,ABS(PPMT($C$50/12,16,$C$51,$C$49)))</f>
        <v/>
      </c>
      <c r="G60" s="41">
        <f>IF($C$51&lt;17,0,ABS(PPMT($C$50/12,17,$C$51,$C$49)))</f>
        <v/>
      </c>
      <c r="H60" s="41">
        <f>IF($C$51&lt;18,0,ABS(PPMT($C$50/12,18,$C$51,$C$49)))</f>
        <v/>
      </c>
      <c r="I60" s="41">
        <f>IF($C$51&lt;19,0,ABS(PPMT($C$50/12,19,$C$51,$C$49)))</f>
        <v/>
      </c>
      <c r="J60" s="41">
        <f>IF($C$51&lt;20,0,ABS(PPMT($C$50/12,20,$C$51,$C$49)))</f>
        <v/>
      </c>
      <c r="K60" s="41">
        <f>IF($C$51&lt;21,0,ABS(PPMT($C$50/12,21,$C$51,$C$49)))</f>
        <v/>
      </c>
      <c r="L60" s="41">
        <f>IF($C$51&lt;22,0,ABS(PPMT($C$50/12,22,$C$51,$C$49)))</f>
        <v/>
      </c>
      <c r="M60" s="41">
        <f>IF($C$51&lt;23,0,ABS(PPMT($C$50/12,23,$C$51,$C$49)))</f>
        <v/>
      </c>
      <c r="N60" s="41">
        <f>IF($C$51&lt;24,0,ABS(PPMT($C$50/12,24,$C$51,$C$49)))</f>
        <v/>
      </c>
      <c r="O60" s="315">
        <f>SUM(C60:N60)</f>
        <v/>
      </c>
      <c r="P60" s="5" t="n"/>
      <c r="Q60" s="5" t="n"/>
    </row>
    <row r="61">
      <c r="B61" s="44" t="inlineStr">
        <is>
          <t>Loan Balance</t>
        </is>
      </c>
      <c r="C61" s="42">
        <f>N57-C60</f>
        <v/>
      </c>
      <c r="D61" s="42">
        <f>C61-D60</f>
        <v/>
      </c>
      <c r="E61" s="42">
        <f>D61-E60</f>
        <v/>
      </c>
      <c r="F61" s="42">
        <f>E61-F60</f>
        <v/>
      </c>
      <c r="G61" s="42">
        <f>F61-G60</f>
        <v/>
      </c>
      <c r="H61" s="42">
        <f>G61-H60</f>
        <v/>
      </c>
      <c r="I61" s="42">
        <f>H61-I60</f>
        <v/>
      </c>
      <c r="J61" s="42">
        <f>I61-J60</f>
        <v/>
      </c>
      <c r="K61" s="42">
        <f>J61-K60</f>
        <v/>
      </c>
      <c r="L61" s="42">
        <f>K61-L60</f>
        <v/>
      </c>
      <c r="M61" s="42">
        <f>L61-M60</f>
        <v/>
      </c>
      <c r="N61" s="42">
        <f>M61-N60</f>
        <v/>
      </c>
      <c r="O61" s="37" t="n"/>
      <c r="P61" s="5" t="n"/>
      <c r="Q61" s="5" t="n"/>
    </row>
    <row r="62">
      <c r="B62" s="26" t="inlineStr">
        <is>
          <t>Year Three</t>
        </is>
      </c>
      <c r="C62" s="38" t="n"/>
      <c r="D62" s="38" t="n"/>
      <c r="E62" s="38" t="n"/>
      <c r="F62" s="38" t="n"/>
      <c r="G62" s="38" t="n"/>
      <c r="H62" s="38" t="n"/>
      <c r="I62" s="38" t="n"/>
      <c r="J62" s="38" t="n"/>
      <c r="K62" s="38" t="n"/>
      <c r="L62" s="38" t="n"/>
      <c r="M62" s="38" t="n"/>
      <c r="N62" s="38" t="n"/>
      <c r="O62" s="38" t="n"/>
      <c r="P62" s="5" t="n"/>
      <c r="Q62" s="5" t="n"/>
    </row>
    <row r="63">
      <c r="B63" s="44" t="inlineStr">
        <is>
          <t>Interest</t>
        </is>
      </c>
      <c r="C63" s="41">
        <f>IF($C$51&lt;25,0,ABS(IPMT($C$50/12,25,$C$51,$C$49)))</f>
        <v/>
      </c>
      <c r="D63" s="41">
        <f>IF($C$51&lt;26,0,ABS(IPMT($C$50/12,26,$C$51,$C$49)))</f>
        <v/>
      </c>
      <c r="E63" s="41">
        <f>IF($C$51&lt;27,0,ABS(IPMT($C$50/12,27,$C$51,$C$49)))</f>
        <v/>
      </c>
      <c r="F63" s="41">
        <f>IF($C$51&lt;28,0,ABS(IPMT($C$50/12,28,$C$51,$C$49)))</f>
        <v/>
      </c>
      <c r="G63" s="41">
        <f>IF($C$51&lt;29,0,ABS(IPMT($C$50/12,29,$C$51,$C$49)))</f>
        <v/>
      </c>
      <c r="H63" s="41">
        <f>IF($C$51&lt;30,0,ABS(IPMT($C$50/12,30,$C$51,$C$49)))</f>
        <v/>
      </c>
      <c r="I63" s="41">
        <f>IF($C$51&lt;31,0,ABS(IPMT($C$50/12,31,$C$51,$C$49)))</f>
        <v/>
      </c>
      <c r="J63" s="41">
        <f>IF($C$51&lt;32,0,ABS(IPMT($C$50/12,32,$C$51,$C$49)))</f>
        <v/>
      </c>
      <c r="K63" s="41">
        <f>IF($C$51&lt;33,0,ABS(IPMT($C$50/12,33,$C$51,$C$49)))</f>
        <v/>
      </c>
      <c r="L63" s="41">
        <f>IF($C$51&lt;34,0,ABS(IPMT($C$50/12,34,$C$51,$C$49)))</f>
        <v/>
      </c>
      <c r="M63" s="41">
        <f>IF($C$51&lt;35,0,ABS(IPMT($C$50/12,35,$C$51,$C$49)))</f>
        <v/>
      </c>
      <c r="N63" s="41">
        <f>IF($C$51&lt;36,0,ABS(IPMT($C$50/12,36,$C$51,$C$49)))</f>
        <v/>
      </c>
      <c r="O63" s="315">
        <f>SUM(C63:N63)</f>
        <v/>
      </c>
      <c r="P63" s="5" t="n"/>
      <c r="Q63" s="5" t="n"/>
    </row>
    <row r="64">
      <c r="B64" s="44" t="inlineStr">
        <is>
          <t>Principal</t>
        </is>
      </c>
      <c r="C64" s="41">
        <f>IF($C$51&lt;25,0,ABS(PPMT($C$50/12,25,$C$51,$C$49)))</f>
        <v/>
      </c>
      <c r="D64" s="41">
        <f>IF($C$51&lt;26,0,ABS(PPMT($C$50/12,26,$C$51,$C$49)))</f>
        <v/>
      </c>
      <c r="E64" s="41">
        <f>IF($C$51&lt;27,0,ABS(PPMT($C$50/12,27,$C$51,$C$49)))</f>
        <v/>
      </c>
      <c r="F64" s="41">
        <f>IF($C$51&lt;28,0,ABS(PPMT($C$50/12,28,$C$51,$C$49)))</f>
        <v/>
      </c>
      <c r="G64" s="41">
        <f>IF($C$51&lt;29,0,ABS(PPMT($C$50/12,29,$C$51,$C$49)))</f>
        <v/>
      </c>
      <c r="H64" s="41">
        <f>IF($C$51&lt;30,0,ABS(PPMT($C$50/12,30,$C$51,$C$49)))</f>
        <v/>
      </c>
      <c r="I64" s="41">
        <f>IF($C$51&lt;31,0,ABS(PPMT($C$50/12,31,$C$51,$C$49)))</f>
        <v/>
      </c>
      <c r="J64" s="41">
        <f>IF($C$51&lt;32,0,ABS(PPMT($C$50/12,32,$C$51,$C$49)))</f>
        <v/>
      </c>
      <c r="K64" s="41">
        <f>IF($C$51&lt;33,0,ABS(PPMT($C$50/12,33,$C$51,$C$49)))</f>
        <v/>
      </c>
      <c r="L64" s="41">
        <f>IF($C$51&lt;34,0,ABS(PPMT($C$50/12,34,$C$51,$C$49)))</f>
        <v/>
      </c>
      <c r="M64" s="41">
        <f>IF($C$51&lt;35,0,ABS(PPMT($C$50/12,35,$C$51,$C$49)))</f>
        <v/>
      </c>
      <c r="N64" s="41">
        <f>IF($C$51&lt;36,0,ABS(PPMT($C$50/12,36,$C$51,$C$49)))</f>
        <v/>
      </c>
      <c r="O64" s="315">
        <f>SUM(C64:N64)</f>
        <v/>
      </c>
      <c r="P64" s="5" t="n"/>
      <c r="Q64" s="5" t="n"/>
    </row>
    <row r="65">
      <c r="B65" s="44" t="inlineStr">
        <is>
          <t>Loan Balance</t>
        </is>
      </c>
      <c r="C65" s="42">
        <f>N61-C64</f>
        <v/>
      </c>
      <c r="D65" s="42">
        <f>C65-D64</f>
        <v/>
      </c>
      <c r="E65" s="42">
        <f>D65-E64</f>
        <v/>
      </c>
      <c r="F65" s="42">
        <f>E65-F64</f>
        <v/>
      </c>
      <c r="G65" s="42">
        <f>F65-G64</f>
        <v/>
      </c>
      <c r="H65" s="42">
        <f>G65-H64</f>
        <v/>
      </c>
      <c r="I65" s="42">
        <f>H65-I64</f>
        <v/>
      </c>
      <c r="J65" s="42">
        <f>I65-J64</f>
        <v/>
      </c>
      <c r="K65" s="42">
        <f>J65-K64</f>
        <v/>
      </c>
      <c r="L65" s="42">
        <f>K65-L64</f>
        <v/>
      </c>
      <c r="M65" s="42">
        <f>L65-M64</f>
        <v/>
      </c>
      <c r="N65" s="42">
        <f>M65-N64</f>
        <v/>
      </c>
      <c r="O65" s="37" t="n"/>
      <c r="P65" s="5" t="n"/>
      <c r="Q65" s="5" t="n"/>
    </row>
    <row r="66">
      <c r="B66" s="9" t="n"/>
      <c r="C66" s="9" t="n"/>
      <c r="D66" s="5" t="n"/>
      <c r="E66" s="5" t="n"/>
      <c r="F66" s="5" t="n"/>
      <c r="G66" s="5" t="n"/>
      <c r="H66" s="5" t="n"/>
      <c r="I66" s="5" t="n"/>
      <c r="J66" s="5" t="n"/>
      <c r="K66" s="5" t="n"/>
      <c r="L66" s="5" t="n"/>
      <c r="M66" s="5" t="n"/>
      <c r="N66" s="5" t="n"/>
      <c r="O66" s="5" t="n"/>
      <c r="P66" s="5" t="n"/>
      <c r="Q66" s="5" t="n"/>
    </row>
    <row r="67">
      <c r="B67" s="9" t="n"/>
      <c r="C67" s="9" t="n"/>
      <c r="D67" s="5" t="n"/>
      <c r="E67" s="5" t="n"/>
      <c r="F67" s="5" t="n"/>
      <c r="G67" s="5" t="n"/>
      <c r="H67" s="5" t="n"/>
      <c r="I67" s="5" t="n"/>
      <c r="J67" s="5" t="n"/>
      <c r="K67" s="5" t="n"/>
      <c r="L67" s="5" t="n"/>
      <c r="M67" s="5" t="n"/>
      <c r="N67" s="5" t="n"/>
      <c r="O67" s="5" t="n"/>
      <c r="P67" s="5" t="n"/>
      <c r="Q67" s="5" t="n"/>
    </row>
    <row r="68" ht="13.8" customHeight="1" thickBot="1">
      <c r="B68" s="506" t="inlineStr">
        <is>
          <t>Vehicle Loans</t>
        </is>
      </c>
      <c r="C68" s="520" t="n"/>
      <c r="D68" s="5" t="n"/>
      <c r="E68" s="5" t="n"/>
      <c r="F68" s="5" t="n"/>
      <c r="G68" s="5" t="n"/>
      <c r="H68" s="5" t="n"/>
      <c r="I68" s="5" t="n"/>
      <c r="J68" s="5" t="n"/>
      <c r="K68" s="5" t="n"/>
      <c r="L68" s="5" t="n"/>
      <c r="M68" s="5" t="n"/>
      <c r="N68" s="5" t="n"/>
      <c r="O68" s="5" t="n"/>
      <c r="P68" s="5" t="n"/>
      <c r="Q68" s="5" t="n"/>
    </row>
    <row r="69" ht="13.8" customHeight="1" thickTop="1">
      <c r="B69" s="150" t="inlineStr">
        <is>
          <t>Principal Amount</t>
        </is>
      </c>
      <c r="C69" s="578">
        <f>VehicleLoan</f>
        <v/>
      </c>
      <c r="D69" s="5" t="n"/>
      <c r="E69" s="5" t="n"/>
      <c r="F69" s="5" t="n"/>
      <c r="G69" s="5" t="n"/>
      <c r="H69" s="5" t="n"/>
      <c r="I69" s="5" t="n"/>
      <c r="J69" s="5" t="n"/>
      <c r="K69" s="5" t="n"/>
      <c r="L69" s="5" t="n"/>
      <c r="M69" s="5" t="n"/>
      <c r="N69" s="5" t="n"/>
      <c r="O69" s="5" t="n"/>
      <c r="P69" s="5" t="n"/>
      <c r="Q69" s="5" t="n"/>
    </row>
    <row r="70">
      <c r="B70" s="26" t="inlineStr">
        <is>
          <t>Interest Rate</t>
        </is>
      </c>
      <c r="C70" s="29">
        <f>'1-StartingPoint'!E40</f>
        <v/>
      </c>
      <c r="D70" s="5" t="n"/>
      <c r="E70" s="5" t="n"/>
      <c r="F70" s="5" t="n"/>
      <c r="G70" s="5" t="n"/>
      <c r="H70" s="5" t="n"/>
      <c r="I70" s="5" t="n"/>
      <c r="J70" s="5" t="n"/>
      <c r="K70" s="5" t="n"/>
      <c r="L70" s="5" t="n"/>
      <c r="M70" s="5" t="n"/>
      <c r="N70" s="5" t="n"/>
      <c r="O70" s="5" t="n"/>
      <c r="P70" s="5" t="n"/>
      <c r="Q70" s="5" t="n"/>
    </row>
    <row r="71">
      <c r="B71" s="26" t="inlineStr">
        <is>
          <t>Loan Term in Months</t>
        </is>
      </c>
      <c r="C71" s="27">
        <f>'1-StartingPoint'!F40</f>
        <v/>
      </c>
      <c r="D71" s="5" t="n"/>
      <c r="E71" s="5" t="n"/>
      <c r="F71" s="5" t="n"/>
      <c r="G71" s="5" t="n"/>
      <c r="H71" s="5" t="n"/>
      <c r="I71" s="5" t="n"/>
      <c r="J71" s="5" t="n"/>
      <c r="K71" s="5" t="n"/>
      <c r="L71" s="5" t="n"/>
      <c r="M71" s="5" t="n"/>
      <c r="N71" s="5" t="n"/>
      <c r="O71" s="5" t="n"/>
      <c r="P71" s="5" t="n"/>
      <c r="Q71" s="5" t="n"/>
    </row>
    <row r="72">
      <c r="B72" s="26" t="inlineStr">
        <is>
          <t>Monthly Payment Amount</t>
        </is>
      </c>
      <c r="C72" s="577">
        <f>ABS(PMT(C70/12,C71,C69))</f>
        <v/>
      </c>
      <c r="D72" s="5" t="n"/>
      <c r="E72" s="5" t="n"/>
      <c r="F72" s="5" t="n"/>
      <c r="G72" s="5" t="n"/>
      <c r="H72" s="5" t="n"/>
      <c r="I72" s="5" t="n"/>
      <c r="J72" s="5" t="n"/>
      <c r="K72" s="5" t="n"/>
      <c r="L72" s="5" t="n"/>
      <c r="M72" s="5" t="n"/>
      <c r="N72" s="5" t="n"/>
      <c r="O72" s="5" t="n"/>
      <c r="P72" s="5" t="n"/>
      <c r="Q72" s="5" t="n"/>
    </row>
    <row r="73">
      <c r="B73" s="26" t="n"/>
      <c r="C73" s="43">
        <f>'3a-SalesForecastYear1'!$C$16</f>
        <v/>
      </c>
      <c r="D73" s="43">
        <f>'3a-SalesForecastYear1'!$D$16</f>
        <v/>
      </c>
      <c r="E73" s="43">
        <f>'3a-SalesForecastYear1'!$E$16</f>
        <v/>
      </c>
      <c r="F73" s="43">
        <f>'3a-SalesForecastYear1'!$F$16</f>
        <v/>
      </c>
      <c r="G73" s="43">
        <f>'3a-SalesForecastYear1'!$G$16</f>
        <v/>
      </c>
      <c r="H73" s="43">
        <f>'3a-SalesForecastYear1'!$H$16</f>
        <v/>
      </c>
      <c r="I73" s="43">
        <f>'3a-SalesForecastYear1'!$I$16</f>
        <v/>
      </c>
      <c r="J73" s="43">
        <f>'3a-SalesForecastYear1'!$J$16</f>
        <v/>
      </c>
      <c r="K73" s="43">
        <f>'3a-SalesForecastYear1'!$K$16</f>
        <v/>
      </c>
      <c r="L73" s="43">
        <f>'3a-SalesForecastYear1'!$L$16</f>
        <v/>
      </c>
      <c r="M73" s="43">
        <f>'3a-SalesForecastYear1'!$M$16</f>
        <v/>
      </c>
      <c r="N73" s="43">
        <f>'3a-SalesForecastYear1'!$N$16</f>
        <v/>
      </c>
      <c r="O73" s="43" t="inlineStr">
        <is>
          <t>Totals</t>
        </is>
      </c>
      <c r="P73" s="5" t="n"/>
      <c r="Q73" s="5" t="n"/>
    </row>
    <row r="74">
      <c r="B74" s="26" t="inlineStr">
        <is>
          <t>Year One</t>
        </is>
      </c>
      <c r="C74" s="7" t="n"/>
      <c r="D74" s="7" t="n"/>
      <c r="E74" s="7" t="n"/>
      <c r="F74" s="7" t="n"/>
      <c r="G74" s="7" t="n"/>
      <c r="H74" s="7" t="n"/>
      <c r="I74" s="7" t="n"/>
      <c r="J74" s="7" t="n"/>
      <c r="K74" s="7" t="n"/>
      <c r="L74" s="7" t="n"/>
      <c r="M74" s="7" t="n"/>
      <c r="N74" s="7" t="n"/>
      <c r="O74" s="7" t="n"/>
      <c r="P74" s="5" t="n"/>
      <c r="Q74" s="5" t="n"/>
    </row>
    <row r="75">
      <c r="B75" s="45" t="inlineStr">
        <is>
          <t>Interest</t>
        </is>
      </c>
      <c r="C75" s="41">
        <f>ABS(IPMT($C$70/12,1,$C$71,$C$69))</f>
        <v/>
      </c>
      <c r="D75" s="41">
        <f>ABS(IPMT($C$70/12,2,$C$71,$C$69))</f>
        <v/>
      </c>
      <c r="E75" s="41">
        <f>ABS(IPMT($C$70/12,3,$C$71,$C$69))</f>
        <v/>
      </c>
      <c r="F75" s="41">
        <f>ABS(IPMT($C$70/12,4,$C$71,$C$69))</f>
        <v/>
      </c>
      <c r="G75" s="41">
        <f>ABS(IPMT($C$70/12,5,$C$71,$C$69))</f>
        <v/>
      </c>
      <c r="H75" s="41">
        <f>ABS(IPMT($C$70/12,6,$C$71,$C$69))</f>
        <v/>
      </c>
      <c r="I75" s="41">
        <f>ABS(IPMT($C$70/12,7,$C$71,$C$69))</f>
        <v/>
      </c>
      <c r="J75" s="41">
        <f>ABS(IPMT($C$70/12,8,$C$71,$C$69))</f>
        <v/>
      </c>
      <c r="K75" s="41">
        <f>ABS(IPMT($C$70/12,9,$C$71,$C$69))</f>
        <v/>
      </c>
      <c r="L75" s="41">
        <f>ABS(IPMT($C$70/12,10,$C$71,$C$69))</f>
        <v/>
      </c>
      <c r="M75" s="41">
        <f>ABS(IPMT($C$70/12,11,$C$71,$C$69))</f>
        <v/>
      </c>
      <c r="N75" s="41">
        <f>ABS(IPMT($C$70/12,12,$C$71,$C$69))</f>
        <v/>
      </c>
      <c r="O75" s="315">
        <f>SUM(C75:N75)</f>
        <v/>
      </c>
      <c r="P75" s="5" t="n"/>
      <c r="Q75" s="5" t="n"/>
    </row>
    <row r="76">
      <c r="B76" s="45" t="inlineStr">
        <is>
          <t>Principal</t>
        </is>
      </c>
      <c r="C76" s="41">
        <f>ABS(PPMT($C$70/12,1,$C$71,$C$69))</f>
        <v/>
      </c>
      <c r="D76" s="41">
        <f>ABS(PPMT($C$70/12,2,$C$71,$C$69))</f>
        <v/>
      </c>
      <c r="E76" s="41">
        <f>ABS(PPMT($C$70/12,3,$C$71,$C$69))</f>
        <v/>
      </c>
      <c r="F76" s="41">
        <f>ABS(PPMT($C$70/12,4,$C$71,$C$69))</f>
        <v/>
      </c>
      <c r="G76" s="41">
        <f>ABS(PPMT($C$70/12,5,$C$71,$C$69))</f>
        <v/>
      </c>
      <c r="H76" s="41">
        <f>ABS(PPMT($C$70/12,6,$C$71,$C$69))</f>
        <v/>
      </c>
      <c r="I76" s="41">
        <f>ABS(PPMT($C$70/12,7,$C$71,$C$69))</f>
        <v/>
      </c>
      <c r="J76" s="41">
        <f>ABS(PPMT($C$70/12,8,$C$71,$C$69))</f>
        <v/>
      </c>
      <c r="K76" s="41">
        <f>ABS(PPMT($C$70/12,9,$C$71,$C$69))</f>
        <v/>
      </c>
      <c r="L76" s="41">
        <f>ABS(PPMT($C$70/12,10,$C$71,$C$69))</f>
        <v/>
      </c>
      <c r="M76" s="41">
        <f>ABS(PPMT($C$70/12,11,$C$71,$C$69))</f>
        <v/>
      </c>
      <c r="N76" s="41">
        <f>ABS(PPMT($C$70/12,12,$C$71,$C$69))</f>
        <v/>
      </c>
      <c r="O76" s="315">
        <f>SUM(C76:N76)</f>
        <v/>
      </c>
      <c r="P76" s="5" t="n"/>
      <c r="Q76" s="5" t="n"/>
    </row>
    <row r="77">
      <c r="B77" s="44" t="inlineStr">
        <is>
          <t>Loan Balance</t>
        </is>
      </c>
      <c r="C77" s="42">
        <f>$C$69-C76</f>
        <v/>
      </c>
      <c r="D77" s="42">
        <f>C77-D76</f>
        <v/>
      </c>
      <c r="E77" s="42">
        <f>D77-E76</f>
        <v/>
      </c>
      <c r="F77" s="42">
        <f>E77-F76</f>
        <v/>
      </c>
      <c r="G77" s="42">
        <f>F77-G76</f>
        <v/>
      </c>
      <c r="H77" s="42">
        <f>G77-H76</f>
        <v/>
      </c>
      <c r="I77" s="42">
        <f>H77-I76</f>
        <v/>
      </c>
      <c r="J77" s="42">
        <f>I77-J76</f>
        <v/>
      </c>
      <c r="K77" s="42">
        <f>J77-K76</f>
        <v/>
      </c>
      <c r="L77" s="42">
        <f>K77-L76</f>
        <v/>
      </c>
      <c r="M77" s="42">
        <f>L77-M76</f>
        <v/>
      </c>
      <c r="N77" s="42">
        <f>M77-N76</f>
        <v/>
      </c>
      <c r="O77" s="37" t="n"/>
      <c r="P77" s="5" t="n"/>
      <c r="Q77" s="5" t="n"/>
    </row>
    <row r="78">
      <c r="B78" s="26" t="inlineStr">
        <is>
          <t>Year Two</t>
        </is>
      </c>
      <c r="C78" s="38" t="n"/>
      <c r="D78" s="38" t="n"/>
      <c r="E78" s="38" t="n"/>
      <c r="F78" s="38" t="n"/>
      <c r="G78" s="38" t="n"/>
      <c r="H78" s="38" t="n"/>
      <c r="I78" s="38" t="n"/>
      <c r="J78" s="38" t="n"/>
      <c r="K78" s="38" t="n"/>
      <c r="L78" s="38" t="n"/>
      <c r="M78" s="38" t="n"/>
      <c r="N78" s="38" t="n"/>
      <c r="O78" s="38" t="n"/>
      <c r="P78" s="5" t="n"/>
      <c r="Q78" s="5" t="n"/>
    </row>
    <row r="79">
      <c r="B79" s="44" t="inlineStr">
        <is>
          <t>Interest</t>
        </is>
      </c>
      <c r="C79" s="41">
        <f>IF($C$71&lt;13,0,ABS(IPMT($C$70/12,13,$C$71,$C$69)))</f>
        <v/>
      </c>
      <c r="D79" s="41">
        <f>IF($C$71&lt;14,0,ABS(IPMT($C$70/12,14,$C$71,$C$69)))</f>
        <v/>
      </c>
      <c r="E79" s="41">
        <f>IF($C$71&lt;15,0,ABS(IPMT($C$70/12,15,$C$71,$C$69)))</f>
        <v/>
      </c>
      <c r="F79" s="41">
        <f>IF($C$71&lt;16,0,ABS(IPMT($C$70/12,16,$C$71,$C$69)))</f>
        <v/>
      </c>
      <c r="G79" s="41">
        <f>IF($C$71&lt;17,0,ABS(IPMT($C$70/12,17,$C$71,$C$69)))</f>
        <v/>
      </c>
      <c r="H79" s="41">
        <f>IF($C$71&lt;18,0,ABS(IPMT($C$70/12,18,$C$71,$C$69)))</f>
        <v/>
      </c>
      <c r="I79" s="41">
        <f>IF($C$71&lt;19,0,ABS(IPMT($C$70/12,19,$C$71,$C$69)))</f>
        <v/>
      </c>
      <c r="J79" s="41">
        <f>IF($C$71&lt;20,0,ABS(IPMT($C$70/12,20,$C$71,$C$69)))</f>
        <v/>
      </c>
      <c r="K79" s="41">
        <f>IF($C$71&lt;21,0,ABS(IPMT($C$70/12,21,$C$71,$C$69)))</f>
        <v/>
      </c>
      <c r="L79" s="41">
        <f>IF($C$71&lt;22,0,ABS(IPMT($C$70/12,22,$C$71,$C$69)))</f>
        <v/>
      </c>
      <c r="M79" s="41">
        <f>IF($C$71&lt;23,0,ABS(IPMT($C$70/12,23,$C$71,$C$69)))</f>
        <v/>
      </c>
      <c r="N79" s="41">
        <f>IF($C$71&lt;24,0,ABS(IPMT($C$70/12,24,$C$71,$C$69)))</f>
        <v/>
      </c>
      <c r="O79" s="315">
        <f>SUM(C79:N79)</f>
        <v/>
      </c>
      <c r="P79" s="5" t="n"/>
      <c r="Q79" s="5" t="n"/>
    </row>
    <row r="80">
      <c r="B80" s="44" t="inlineStr">
        <is>
          <t>Principal</t>
        </is>
      </c>
      <c r="C80" s="41">
        <f>IF($C$71&lt;13,0,ABS(PPMT($C$70/12,13,$C$71,$C$69)))</f>
        <v/>
      </c>
      <c r="D80" s="41">
        <f>IF($C$71&lt;14,0,ABS(PPMT($C$70/12,14,$C$71,$C$69)))</f>
        <v/>
      </c>
      <c r="E80" s="41">
        <f>IF($C$71&lt;15,0,ABS(PPMT($C$70/12,15,$C$71,$C$69)))</f>
        <v/>
      </c>
      <c r="F80" s="41">
        <f>IF($C$71&lt;16,0,ABS(PPMT($C$70/12,16,$C$71,$C$69)))</f>
        <v/>
      </c>
      <c r="G80" s="41">
        <f>IF($C$71&lt;17,0,ABS(PPMT($C$70/12,17,$C$71,$C$69)))</f>
        <v/>
      </c>
      <c r="H80" s="41">
        <f>IF($C$71&lt;18,0,ABS(PPMT($C$70/12,18,$C$71,$C$69)))</f>
        <v/>
      </c>
      <c r="I80" s="41">
        <f>IF($C$71&lt;19,0,ABS(PPMT($C$70/12,19,$C$71,$C$69)))</f>
        <v/>
      </c>
      <c r="J80" s="41">
        <f>IF($C$71&lt;20,0,ABS(PPMT($C$70/12,20,$C$71,$C$69)))</f>
        <v/>
      </c>
      <c r="K80" s="41">
        <f>IF($C$71&lt;21,0,ABS(PPMT($C$70/12,21,$C$71,$C$69)))</f>
        <v/>
      </c>
      <c r="L80" s="41">
        <f>IF($C$71&lt;22,0,ABS(PPMT($C$70/12,22,$C$71,$C$69)))</f>
        <v/>
      </c>
      <c r="M80" s="41">
        <f>IF($C$71&lt;23,0,ABS(PPMT($C$70/12,23,$C$71,$C$69)))</f>
        <v/>
      </c>
      <c r="N80" s="41">
        <f>IF($C$71&lt;24,0,ABS(PPMT($C$70/12,24,$C$71,$C$69)))</f>
        <v/>
      </c>
      <c r="O80" s="315">
        <f>SUM(C80:N80)</f>
        <v/>
      </c>
      <c r="P80" s="5" t="n"/>
      <c r="Q80" s="5" t="n"/>
    </row>
    <row r="81">
      <c r="B81" s="44" t="inlineStr">
        <is>
          <t>Loan Balance</t>
        </is>
      </c>
      <c r="C81" s="42">
        <f>N77-C80</f>
        <v/>
      </c>
      <c r="D81" s="42">
        <f>C81-D80</f>
        <v/>
      </c>
      <c r="E81" s="42">
        <f>D81-E80</f>
        <v/>
      </c>
      <c r="F81" s="42">
        <f>E81-F80</f>
        <v/>
      </c>
      <c r="G81" s="42">
        <f>F81-G80</f>
        <v/>
      </c>
      <c r="H81" s="42">
        <f>G81-H80</f>
        <v/>
      </c>
      <c r="I81" s="42">
        <f>H81-I80</f>
        <v/>
      </c>
      <c r="J81" s="42">
        <f>I81-J80</f>
        <v/>
      </c>
      <c r="K81" s="42">
        <f>J81-K80</f>
        <v/>
      </c>
      <c r="L81" s="42">
        <f>K81-L80</f>
        <v/>
      </c>
      <c r="M81" s="42">
        <f>L81-M80</f>
        <v/>
      </c>
      <c r="N81" s="42">
        <f>M81-N80</f>
        <v/>
      </c>
      <c r="O81" s="37" t="n"/>
      <c r="P81" s="5" t="n"/>
      <c r="Q81" s="5" t="n"/>
    </row>
    <row r="82">
      <c r="B82" s="26" t="inlineStr">
        <is>
          <t>Year Three</t>
        </is>
      </c>
      <c r="C82" s="38" t="n"/>
      <c r="D82" s="38" t="n"/>
      <c r="E82" s="38" t="n"/>
      <c r="F82" s="38" t="n"/>
      <c r="G82" s="38" t="n"/>
      <c r="H82" s="38" t="n"/>
      <c r="I82" s="38" t="n"/>
      <c r="J82" s="38" t="n"/>
      <c r="K82" s="38" t="n"/>
      <c r="L82" s="38" t="n"/>
      <c r="M82" s="38" t="n"/>
      <c r="N82" s="38" t="n"/>
      <c r="O82" s="38" t="n"/>
      <c r="P82" s="5" t="n"/>
      <c r="Q82" s="5" t="n"/>
    </row>
    <row r="83">
      <c r="B83" s="44" t="inlineStr">
        <is>
          <t>Interest</t>
        </is>
      </c>
      <c r="C83" s="41">
        <f>IF($C$71&lt;25,0,ABS(IPMT($C$70/12,25,$C$71,$C$69)))</f>
        <v/>
      </c>
      <c r="D83" s="41">
        <f>IF($C$71&lt;26,0,ABS(IPMT($C$70/12,26,$C$71,$C$69)))</f>
        <v/>
      </c>
      <c r="E83" s="41">
        <f>IF($C$71&lt;27,0,ABS(IPMT($C$70/12,27,$C$71,$C$69)))</f>
        <v/>
      </c>
      <c r="F83" s="41">
        <f>IF($C$71&lt;28,0,ABS(IPMT($C$70/12,28,$C$71,$C$69)))</f>
        <v/>
      </c>
      <c r="G83" s="41">
        <f>IF($C$71&lt;29,0,ABS(IPMT($C$70/12,29,$C$71,$C$69)))</f>
        <v/>
      </c>
      <c r="H83" s="41">
        <f>IF($C$71&lt;30,0,ABS(IPMT($C$70/12,30,$C$71,$C$69)))</f>
        <v/>
      </c>
      <c r="I83" s="41">
        <f>IF($C$71&lt;31,0,ABS(IPMT($C$70/12,31,$C$71,$C$69)))</f>
        <v/>
      </c>
      <c r="J83" s="41">
        <f>IF($C$71&lt;32,0,ABS(IPMT($C$70/12,32,$C$71,$C$69)))</f>
        <v/>
      </c>
      <c r="K83" s="41">
        <f>IF($C$71&lt;33,0,ABS(IPMT($C$70/12,33,$C$71,$C$69)))</f>
        <v/>
      </c>
      <c r="L83" s="41">
        <f>IF($C$71&lt;34,0,ABS(IPMT($C$70/12,34,$C$71,$C$69)))</f>
        <v/>
      </c>
      <c r="M83" s="41">
        <f>IF($C$71&lt;34,0,ABS(IPMT($C$70/12,35,$C$71,$C$69)))</f>
        <v/>
      </c>
      <c r="N83" s="41">
        <f>IF($C$71&lt;36,0,ABS(IPMT($C$70/12,36,$C$71,$C$69)))</f>
        <v/>
      </c>
      <c r="O83" s="315">
        <f>SUM(C83:N83)</f>
        <v/>
      </c>
      <c r="P83" s="5" t="n"/>
      <c r="Q83" s="5" t="n"/>
    </row>
    <row r="84">
      <c r="B84" s="44" t="inlineStr">
        <is>
          <t>Principal</t>
        </is>
      </c>
      <c r="C84" s="41">
        <f>IF($C$71&lt;25,0,ABS(PPMT($C$70/12,25,$C$71,$C$69)))</f>
        <v/>
      </c>
      <c r="D84" s="41">
        <f>IF($C$71&lt;26,0,ABS(PPMT($C$70/12,26,$C$71,$C$69)))</f>
        <v/>
      </c>
      <c r="E84" s="41">
        <f>IF($C$71&lt;27,0,ABS(PPMT($C$70/12,27,$C$71,$C$69)))</f>
        <v/>
      </c>
      <c r="F84" s="41">
        <f>IF($C$71&lt;28,0,ABS(PPMT($C$70/12,28,$C$71,$C$69)))</f>
        <v/>
      </c>
      <c r="G84" s="41">
        <f>IF($C$71&lt;29,0,ABS(PPMT($C$70/12,29,$C$71,$C$69)))</f>
        <v/>
      </c>
      <c r="H84" s="41">
        <f>IF($C$71&lt;30,0,ABS(PPMT($C$70/12,30,$C$71,$C$69)))</f>
        <v/>
      </c>
      <c r="I84" s="41">
        <f>IF($C$71&lt;31,0,ABS(PPMT($C$70/12,31,$C$71,$C$69)))</f>
        <v/>
      </c>
      <c r="J84" s="41">
        <f>IF($C$71&lt;32,0,ABS(PPMT($C$70/12,32,$C$71,$C$69)))</f>
        <v/>
      </c>
      <c r="K84" s="41">
        <f>IF($C$71&lt;33,0,ABS(PPMT($C$70/12,33,$C$71,$C$69)))</f>
        <v/>
      </c>
      <c r="L84" s="41">
        <f>IF($C$71&lt;34,0,ABS(PPMT($C$70/12,34,$C$71,$C$69)))</f>
        <v/>
      </c>
      <c r="M84" s="41">
        <f>ABS(PPMT($C$70/12,35,$C$71,$C$69))</f>
        <v/>
      </c>
      <c r="N84" s="41">
        <f>IF($C$71&lt;36,0,ABS(PPMT($C$70/12,36,$C$71,$C$69)))</f>
        <v/>
      </c>
      <c r="O84" s="315">
        <f>SUM(C84:N84)</f>
        <v/>
      </c>
      <c r="P84" s="5" t="n"/>
      <c r="Q84" s="5" t="n"/>
    </row>
    <row r="85">
      <c r="B85" s="44" t="inlineStr">
        <is>
          <t>Loan Balance</t>
        </is>
      </c>
      <c r="C85" s="42">
        <f>N81-C84</f>
        <v/>
      </c>
      <c r="D85" s="42">
        <f>C85-D84</f>
        <v/>
      </c>
      <c r="E85" s="42">
        <f>D85-E84</f>
        <v/>
      </c>
      <c r="F85" s="42">
        <f>E85-F84</f>
        <v/>
      </c>
      <c r="G85" s="42">
        <f>F85-G84</f>
        <v/>
      </c>
      <c r="H85" s="42">
        <f>G85-H84</f>
        <v/>
      </c>
      <c r="I85" s="42">
        <f>H85-I84</f>
        <v/>
      </c>
      <c r="J85" s="42">
        <f>I85-J84</f>
        <v/>
      </c>
      <c r="K85" s="42">
        <f>J85-K84</f>
        <v/>
      </c>
      <c r="L85" s="42">
        <f>K85-L84</f>
        <v/>
      </c>
      <c r="M85" s="42">
        <f>L85-M84</f>
        <v/>
      </c>
      <c r="N85" s="42">
        <f>M85-N84</f>
        <v/>
      </c>
      <c r="O85" s="37" t="n"/>
      <c r="P85" s="5" t="n"/>
      <c r="Q85" s="5" t="n"/>
    </row>
    <row r="86">
      <c r="B86" s="9" t="n"/>
      <c r="C86" s="9" t="n"/>
      <c r="D86" s="5" t="n"/>
      <c r="E86" s="5" t="n"/>
      <c r="F86" s="5" t="n"/>
      <c r="G86" s="5" t="n"/>
      <c r="H86" s="5" t="n"/>
      <c r="I86" s="5" t="n"/>
      <c r="J86" s="5" t="n"/>
      <c r="K86" s="5" t="n"/>
      <c r="L86" s="5" t="n"/>
      <c r="M86" s="5" t="n"/>
      <c r="N86" s="5" t="n"/>
      <c r="O86" s="5" t="n"/>
      <c r="P86" s="5" t="n"/>
      <c r="Q86" s="5" t="n"/>
    </row>
    <row r="87">
      <c r="B87" s="9" t="n"/>
      <c r="C87" s="9" t="n"/>
      <c r="D87" s="5" t="n"/>
      <c r="E87" s="5" t="n"/>
      <c r="F87" s="5" t="n"/>
      <c r="G87" s="5" t="n"/>
      <c r="H87" s="5" t="n"/>
      <c r="I87" s="5" t="n"/>
      <c r="J87" s="5" t="n"/>
      <c r="K87" s="5" t="n"/>
      <c r="L87" s="5" t="n"/>
      <c r="M87" s="5" t="n"/>
      <c r="N87" s="5" t="n"/>
      <c r="O87" s="5" t="n"/>
      <c r="P87" s="5" t="n"/>
      <c r="Q87" s="5" t="n"/>
    </row>
    <row r="88" ht="13.8" customHeight="1" thickBot="1">
      <c r="B88" s="506" t="inlineStr">
        <is>
          <t>Other Bank Debt</t>
        </is>
      </c>
      <c r="C88" s="520" t="n"/>
      <c r="D88" s="5" t="n"/>
      <c r="E88" s="5" t="n"/>
      <c r="F88" s="5" t="n"/>
      <c r="G88" s="5" t="n"/>
      <c r="H88" s="5" t="n"/>
      <c r="I88" s="5" t="n"/>
      <c r="J88" s="5" t="n"/>
      <c r="K88" s="5" t="n"/>
      <c r="L88" s="5" t="n"/>
      <c r="M88" s="5" t="n"/>
      <c r="N88" s="5" t="n"/>
      <c r="O88" s="5" t="n"/>
      <c r="P88" s="5" t="n"/>
      <c r="Q88" s="5" t="n"/>
    </row>
    <row r="89" ht="13.8" customHeight="1" thickTop="1">
      <c r="B89" s="150" t="inlineStr">
        <is>
          <t>Principal Amount</t>
        </is>
      </c>
      <c r="C89" s="579">
        <f>OtherBankDebt</f>
        <v/>
      </c>
      <c r="D89" s="5" t="n"/>
      <c r="E89" s="5" t="n"/>
      <c r="F89" s="5" t="n"/>
      <c r="G89" s="5" t="n"/>
      <c r="H89" s="5" t="n"/>
      <c r="I89" s="5" t="n"/>
      <c r="J89" s="5" t="n"/>
      <c r="K89" s="5" t="n"/>
      <c r="L89" s="5" t="n"/>
      <c r="M89" s="5" t="n"/>
      <c r="N89" s="5" t="n"/>
      <c r="O89" s="5" t="n"/>
      <c r="P89" s="5" t="n"/>
      <c r="Q89" s="5" t="n"/>
    </row>
    <row r="90">
      <c r="B90" s="26" t="inlineStr">
        <is>
          <t>Interest Rate</t>
        </is>
      </c>
      <c r="C90" s="29">
        <f>'1-StartingPoint'!E41</f>
        <v/>
      </c>
      <c r="D90" s="5" t="n"/>
      <c r="E90" s="5" t="n"/>
      <c r="F90" s="5" t="n"/>
      <c r="G90" s="5" t="n"/>
      <c r="H90" s="5" t="n"/>
      <c r="I90" s="5" t="n"/>
      <c r="J90" s="5" t="n"/>
      <c r="K90" s="5" t="n"/>
      <c r="L90" s="5" t="n"/>
      <c r="M90" s="5" t="n"/>
      <c r="N90" s="5" t="n"/>
      <c r="O90" s="5" t="n"/>
      <c r="P90" s="5" t="n"/>
      <c r="Q90" s="5" t="n"/>
    </row>
    <row r="91">
      <c r="B91" s="26" t="inlineStr">
        <is>
          <t>Loan Term in Months</t>
        </is>
      </c>
      <c r="C91" s="27">
        <f>'1-StartingPoint'!F41</f>
        <v/>
      </c>
      <c r="D91" s="5" t="n"/>
      <c r="E91" s="5" t="n"/>
      <c r="F91" s="5" t="n"/>
      <c r="G91" s="5" t="n"/>
      <c r="H91" s="5" t="n"/>
      <c r="I91" s="5" t="n"/>
      <c r="J91" s="5" t="n"/>
      <c r="K91" s="5" t="n"/>
      <c r="L91" s="5" t="n"/>
      <c r="M91" s="5" t="n"/>
      <c r="N91" s="5" t="n"/>
      <c r="O91" s="5" t="n"/>
      <c r="P91" s="5" t="n"/>
      <c r="Q91" s="5" t="n"/>
    </row>
    <row r="92">
      <c r="B92" s="26" t="inlineStr">
        <is>
          <t>Monthly Payment Amount</t>
        </is>
      </c>
      <c r="C92" s="577">
        <f>ABS(PMT(C90/12,C91,C89))</f>
        <v/>
      </c>
      <c r="D92" s="5" t="n"/>
      <c r="E92" s="5" t="n"/>
      <c r="F92" s="5" t="n"/>
      <c r="G92" s="5" t="n"/>
      <c r="H92" s="5" t="n"/>
      <c r="I92" s="5" t="n"/>
      <c r="J92" s="5" t="n"/>
      <c r="K92" s="5" t="n"/>
      <c r="L92" s="5" t="n"/>
      <c r="M92" s="5" t="n"/>
      <c r="N92" s="5" t="n"/>
      <c r="O92" s="5" t="n"/>
      <c r="P92" s="5" t="n"/>
      <c r="Q92" s="5" t="n"/>
    </row>
    <row r="93">
      <c r="B93" s="26" t="n"/>
      <c r="C93" s="43">
        <f>'3a-SalesForecastYear1'!$C$16</f>
        <v/>
      </c>
      <c r="D93" s="43">
        <f>'3a-SalesForecastYear1'!$D$16</f>
        <v/>
      </c>
      <c r="E93" s="43">
        <f>'3a-SalesForecastYear1'!$E$16</f>
        <v/>
      </c>
      <c r="F93" s="43">
        <f>'3a-SalesForecastYear1'!$F$16</f>
        <v/>
      </c>
      <c r="G93" s="43">
        <f>'3a-SalesForecastYear1'!$G$16</f>
        <v/>
      </c>
      <c r="H93" s="43">
        <f>'3a-SalesForecastYear1'!$H$16</f>
        <v/>
      </c>
      <c r="I93" s="43">
        <f>'3a-SalesForecastYear1'!$I$16</f>
        <v/>
      </c>
      <c r="J93" s="43">
        <f>'3a-SalesForecastYear1'!$J$16</f>
        <v/>
      </c>
      <c r="K93" s="43">
        <f>'3a-SalesForecastYear1'!$K$16</f>
        <v/>
      </c>
      <c r="L93" s="43">
        <f>'3a-SalesForecastYear1'!$L$16</f>
        <v/>
      </c>
      <c r="M93" s="43">
        <f>'3a-SalesForecastYear1'!$M$16</f>
        <v/>
      </c>
      <c r="N93" s="43">
        <f>'3a-SalesForecastYear1'!$N$16</f>
        <v/>
      </c>
      <c r="O93" s="43" t="inlineStr">
        <is>
          <t>Totals</t>
        </is>
      </c>
      <c r="P93" s="5" t="n"/>
      <c r="Q93" s="5" t="n"/>
    </row>
    <row r="94">
      <c r="B94" s="26" t="inlineStr">
        <is>
          <t>Year One</t>
        </is>
      </c>
      <c r="C94" s="7" t="n"/>
      <c r="D94" s="7" t="n"/>
      <c r="E94" s="7" t="n"/>
      <c r="F94" s="7" t="n"/>
      <c r="G94" s="7" t="n"/>
      <c r="H94" s="7" t="n"/>
      <c r="I94" s="7" t="n"/>
      <c r="J94" s="7" t="n"/>
      <c r="K94" s="7" t="n"/>
      <c r="L94" s="7" t="n"/>
      <c r="M94" s="7" t="n"/>
      <c r="N94" s="7" t="n"/>
      <c r="O94" s="7" t="n"/>
      <c r="P94" s="5" t="n"/>
      <c r="Q94" s="5" t="n"/>
    </row>
    <row r="95">
      <c r="B95" s="44" t="inlineStr">
        <is>
          <t>Interest</t>
        </is>
      </c>
      <c r="C95" s="41">
        <f>ABS(IPMT($C$90/12,1,$C$91,$C$89))</f>
        <v/>
      </c>
      <c r="D95" s="41">
        <f>ABS(IPMT($C$90/12,2,$C$91,$C$89))</f>
        <v/>
      </c>
      <c r="E95" s="41">
        <f>ABS(IPMT($C$90/12,3,$C$91,$C$89))</f>
        <v/>
      </c>
      <c r="F95" s="41">
        <f>ABS(IPMT($C$90/12,4,$C$91,$C$89))</f>
        <v/>
      </c>
      <c r="G95" s="41">
        <f>ABS(IPMT($C$90/12,5,$C$91,$C$89))</f>
        <v/>
      </c>
      <c r="H95" s="41">
        <f>ABS(IPMT($C$90/12,6,$C$91,$C$89))</f>
        <v/>
      </c>
      <c r="I95" s="41">
        <f>ABS(IPMT($C$90/12,7,$C$91,$C$89))</f>
        <v/>
      </c>
      <c r="J95" s="41">
        <f>ABS(IPMT($C$90/12,8,$C$91,$C$89))</f>
        <v/>
      </c>
      <c r="K95" s="41">
        <f>ABS(IPMT($C$90/12,9,$C$91,$C$89))</f>
        <v/>
      </c>
      <c r="L95" s="41">
        <f>ABS(IPMT($C$90/12,10,$C$91,$C$89))</f>
        <v/>
      </c>
      <c r="M95" s="41">
        <f>ABS(IPMT($C$90/12,11,$C$91,$C$89))</f>
        <v/>
      </c>
      <c r="N95" s="41">
        <f>ABS(IPMT($C$90/12,12,$C$91,$C$89))</f>
        <v/>
      </c>
      <c r="O95" s="315">
        <f>SUM(C95:N95)</f>
        <v/>
      </c>
      <c r="P95" s="5" t="n"/>
      <c r="Q95" s="5" t="n"/>
    </row>
    <row r="96">
      <c r="B96" s="44" t="inlineStr">
        <is>
          <t>Principal</t>
        </is>
      </c>
      <c r="C96" s="41">
        <f>ABS(PPMT($C$90/12,1,$C$91,$C$89))</f>
        <v/>
      </c>
      <c r="D96" s="41">
        <f>ABS(PPMT($C$90/12,2,$C$91,$C$89))</f>
        <v/>
      </c>
      <c r="E96" s="41">
        <f>ABS(PPMT($C$90/12,3,$C$91,$C$89))</f>
        <v/>
      </c>
      <c r="F96" s="41">
        <f>ABS(PPMT($C$90/12,4,$C$91,$C$89))</f>
        <v/>
      </c>
      <c r="G96" s="41">
        <f>ABS(PPMT($C$90/12,5,$C$91,$C$89))</f>
        <v/>
      </c>
      <c r="H96" s="41">
        <f>ABS(PPMT($C$90/12,6,$C$91,$C$89))</f>
        <v/>
      </c>
      <c r="I96" s="41">
        <f>ABS(PPMT($C$90/12,7,$C$91,$C$89))</f>
        <v/>
      </c>
      <c r="J96" s="41">
        <f>ABS(PPMT($C$90/12,8,$C$91,$C$89))</f>
        <v/>
      </c>
      <c r="K96" s="41">
        <f>ABS(PPMT($C$90/12,9,$C$91,$C$89))</f>
        <v/>
      </c>
      <c r="L96" s="41">
        <f>ABS(PPMT($C$90/12,10,$C$91,$C$89))</f>
        <v/>
      </c>
      <c r="M96" s="41">
        <f>ABS(PPMT($C$90/12,11,$C$91,$C$89))</f>
        <v/>
      </c>
      <c r="N96" s="41">
        <f>ABS(PPMT($C$90/12,12,$C$91,$C$89))</f>
        <v/>
      </c>
      <c r="O96" s="315">
        <f>SUM(C96:N96)</f>
        <v/>
      </c>
      <c r="P96" s="5" t="n"/>
      <c r="Q96" s="5" t="n"/>
    </row>
    <row r="97">
      <c r="B97" s="44" t="inlineStr">
        <is>
          <t>Loan Balance</t>
        </is>
      </c>
      <c r="C97" s="42">
        <f>$C$89-C96</f>
        <v/>
      </c>
      <c r="D97" s="42">
        <f>C97-D96</f>
        <v/>
      </c>
      <c r="E97" s="42">
        <f>D97-E96</f>
        <v/>
      </c>
      <c r="F97" s="42">
        <f>E97-F96</f>
        <v/>
      </c>
      <c r="G97" s="42">
        <f>F97-G96</f>
        <v/>
      </c>
      <c r="H97" s="42">
        <f>G97-H96</f>
        <v/>
      </c>
      <c r="I97" s="42">
        <f>H97-I96</f>
        <v/>
      </c>
      <c r="J97" s="42">
        <f>I97-J96</f>
        <v/>
      </c>
      <c r="K97" s="42">
        <f>J97-K96</f>
        <v/>
      </c>
      <c r="L97" s="42">
        <f>K97-L96</f>
        <v/>
      </c>
      <c r="M97" s="42">
        <f>L97-M96</f>
        <v/>
      </c>
      <c r="N97" s="42">
        <f>M97-N96</f>
        <v/>
      </c>
      <c r="O97" s="37" t="n"/>
      <c r="P97" s="5" t="n"/>
      <c r="Q97" s="5" t="n"/>
    </row>
    <row r="98">
      <c r="B98" s="26" t="inlineStr">
        <is>
          <t>Year Two</t>
        </is>
      </c>
      <c r="C98" s="38" t="n"/>
      <c r="D98" s="38" t="n"/>
      <c r="E98" s="38" t="n"/>
      <c r="F98" s="38" t="n"/>
      <c r="G98" s="38" t="n"/>
      <c r="H98" s="38" t="n"/>
      <c r="I98" s="38" t="n"/>
      <c r="J98" s="38" t="n"/>
      <c r="K98" s="38" t="n"/>
      <c r="L98" s="38" t="n"/>
      <c r="M98" s="38" t="n"/>
      <c r="N98" s="38" t="n"/>
      <c r="O98" s="38" t="n"/>
      <c r="P98" s="5" t="n"/>
      <c r="Q98" s="5" t="n"/>
    </row>
    <row r="99">
      <c r="B99" s="44" t="inlineStr">
        <is>
          <t>Interest</t>
        </is>
      </c>
      <c r="C99" s="41">
        <f>IF($C$91&lt;13,0,ABS(IPMT($C$90/12,13,$C$91,$C$89)))</f>
        <v/>
      </c>
      <c r="D99" s="41">
        <f>IF($C$91&lt;14,0,ABS(IPMT($C$90/12,14,$C$91,$C$89)))</f>
        <v/>
      </c>
      <c r="E99" s="41">
        <f>IF($C$91&lt;15,0,ABS(IPMT($C$90/12,15,$C$91,$C$89)))</f>
        <v/>
      </c>
      <c r="F99" s="41">
        <f>IF($C$91&lt;16,0,ABS(IPMT($C$90/12,16,$C$91,$C$89)))</f>
        <v/>
      </c>
      <c r="G99" s="41">
        <f>IF($C$91&lt;17,0,ABS(IPMT($C$90/12,17,$C$91,$C$89)))</f>
        <v/>
      </c>
      <c r="H99" s="41">
        <f>IF($C$91&lt;18,0,ABS(IPMT($C$90/12,18,$C$91,$C$89)))</f>
        <v/>
      </c>
      <c r="I99" s="41">
        <f>IF($C$91&lt;19,0,ABS(IPMT($C$90/12,19,$C$91,$C$89)))</f>
        <v/>
      </c>
      <c r="J99" s="41">
        <f>IF($C$91&lt;20,0,ABS(IPMT($C$90/12,20,$C$91,$C$89)))</f>
        <v/>
      </c>
      <c r="K99" s="41">
        <f>IF($C$91&lt;21,0,ABS(IPMT($C$90/12,21,$C$91,$C$89)))</f>
        <v/>
      </c>
      <c r="L99" s="41">
        <f>IF($C$91&lt;22,0,ABS(IPMT($C$90/12,22,$C$91,$C$89)))</f>
        <v/>
      </c>
      <c r="M99" s="41">
        <f>IF($C$91&lt;23,0,ABS(IPMT($C$90/23,11,$C$91,$C$89)))</f>
        <v/>
      </c>
      <c r="N99" s="41">
        <f>IF($C$91&lt;24,0,ABS(IPMT($C$90/12,24,$C$91,$C$89)))</f>
        <v/>
      </c>
      <c r="O99" s="315">
        <f>SUM(C99:N99)</f>
        <v/>
      </c>
      <c r="P99" s="5" t="n"/>
      <c r="Q99" s="5" t="n"/>
    </row>
    <row r="100">
      <c r="B100" s="44" t="inlineStr">
        <is>
          <t>Principal</t>
        </is>
      </c>
      <c r="C100" s="41">
        <f>IF($C$91&lt;13,0,ABS(PPMT($C$90/12,13,$C$91,$C$89)))</f>
        <v/>
      </c>
      <c r="D100" s="41">
        <f>IF($C$91&lt;14,0,ABS(PPMT($C$90/12,14,$C$91,$C$89)))</f>
        <v/>
      </c>
      <c r="E100" s="41">
        <f>IF($C$91&lt;15,0,ABS(PPMT($C$90/12,15,$C$91,$C$89)))</f>
        <v/>
      </c>
      <c r="F100" s="41">
        <f>IF($C$91&lt;16,0,ABS(PPMT($C$90/12,16,$C$91,$C$89)))</f>
        <v/>
      </c>
      <c r="G100" s="41">
        <f>IF($C$91&lt;17,0,ABS(PPMT($C$90/12,17,$C$91,$C$89)))</f>
        <v/>
      </c>
      <c r="H100" s="41">
        <f>IF($C$91&lt;18,0,ABS(PPMT($C$90/12,18,$C$91,$C$89)))</f>
        <v/>
      </c>
      <c r="I100" s="41">
        <f>IF($C$91&lt;19,0,ABS(PPMT($C$90/12,19,$C$91,$C$89)))</f>
        <v/>
      </c>
      <c r="J100" s="41">
        <f>IF($C$91&lt;20,0,ABS(PPMT($C$90/12,20,$C$91,$C$89)))</f>
        <v/>
      </c>
      <c r="K100" s="41">
        <f>IF($C$91&lt;21,0,ABS(PPMT($C$90/12,21,$C$91,$C$89)))</f>
        <v/>
      </c>
      <c r="L100" s="41">
        <f>IF($C$91&lt;22,0,ABS(PPMT($C$90/12,22,$C$91,$C$89)))</f>
        <v/>
      </c>
      <c r="M100" s="41">
        <f>IF($C$91&lt;23,0,ABS(PPMT($C$90/12,23,$C$91,$C$89)))</f>
        <v/>
      </c>
      <c r="N100" s="41">
        <f>IF($C$91&lt;24,0,ABS(PPMT($C$90/12,24,$C$91,$C$89)))</f>
        <v/>
      </c>
      <c r="O100" s="315">
        <f>SUM(C100:N100)</f>
        <v/>
      </c>
      <c r="P100" s="5" t="n"/>
      <c r="Q100" s="5" t="n"/>
    </row>
    <row r="101">
      <c r="B101" s="44" t="inlineStr">
        <is>
          <t>Loan Balance</t>
        </is>
      </c>
      <c r="C101" s="42">
        <f>N97-C100</f>
        <v/>
      </c>
      <c r="D101" s="42">
        <f>C101-D100</f>
        <v/>
      </c>
      <c r="E101" s="42">
        <f>D101-E100</f>
        <v/>
      </c>
      <c r="F101" s="42">
        <f>E101-F100</f>
        <v/>
      </c>
      <c r="G101" s="42">
        <f>F101-G100</f>
        <v/>
      </c>
      <c r="H101" s="42">
        <f>G101-H100</f>
        <v/>
      </c>
      <c r="I101" s="42">
        <f>H101-I100</f>
        <v/>
      </c>
      <c r="J101" s="42">
        <f>I101-J100</f>
        <v/>
      </c>
      <c r="K101" s="42">
        <f>J101-K100</f>
        <v/>
      </c>
      <c r="L101" s="42">
        <f>K101-L100</f>
        <v/>
      </c>
      <c r="M101" s="42">
        <f>L101-M100</f>
        <v/>
      </c>
      <c r="N101" s="42">
        <f>M101-N100</f>
        <v/>
      </c>
      <c r="O101" s="37" t="n"/>
      <c r="P101" s="5" t="n"/>
      <c r="Q101" s="5" t="n"/>
    </row>
    <row r="102">
      <c r="B102" s="26" t="inlineStr">
        <is>
          <t>Year Three</t>
        </is>
      </c>
      <c r="C102" s="38" t="n"/>
      <c r="D102" s="38" t="n"/>
      <c r="E102" s="38" t="n"/>
      <c r="F102" s="38" t="n"/>
      <c r="G102" s="38" t="n"/>
      <c r="H102" s="38" t="n"/>
      <c r="I102" s="38" t="n"/>
      <c r="J102" s="38" t="n"/>
      <c r="K102" s="38" t="n"/>
      <c r="L102" s="38" t="n"/>
      <c r="M102" s="38" t="n"/>
      <c r="N102" s="38" t="n"/>
      <c r="O102" s="38" t="n"/>
      <c r="P102" s="5" t="n"/>
      <c r="Q102" s="5" t="n"/>
    </row>
    <row r="103">
      <c r="B103" s="44" t="inlineStr">
        <is>
          <t>Interest</t>
        </is>
      </c>
      <c r="C103" s="41">
        <f>IF($C$91&lt;25,0,ABS(IPMT($C$90/12,25,$C$91,$C$89)))</f>
        <v/>
      </c>
      <c r="D103" s="41">
        <f>IF($C$91&lt;26,0,ABS(IPMT($C$90/12,26,$C$91,$C$89)))</f>
        <v/>
      </c>
      <c r="E103" s="41">
        <f>IF($C$91&lt;27,0,ABS(IPMT($C$90/12,27,$C$91,$C$89)))</f>
        <v/>
      </c>
      <c r="F103" s="41">
        <f>IF($C$91&lt;28,0,ABS(IPMT($C$90/12,28,$C$91,$C$89)))</f>
        <v/>
      </c>
      <c r="G103" s="41">
        <f>IF($C$91&lt;29,0,ABS(IPMT($C$90/12,29,$C$91,$C$89)))</f>
        <v/>
      </c>
      <c r="H103" s="41">
        <f>IF($C$91&lt;30,0,ABS(IPMT($C$90/12,30,$C$91,$C$89)))</f>
        <v/>
      </c>
      <c r="I103" s="41">
        <f>IF($C$91&lt;31,0,ABS(IPMT($C$90/12,31,$C$91,$C$89)))</f>
        <v/>
      </c>
      <c r="J103" s="41">
        <f>IF($C$91&lt;32,0,ABS(IPMT($C$90/12,32,$C$91,$C$89)))</f>
        <v/>
      </c>
      <c r="K103" s="41">
        <f>IF($C$91&lt;33,0,ABS(IPMT($C$90/12,33,$C$91,$C$89)))</f>
        <v/>
      </c>
      <c r="L103" s="41">
        <f>IF($C$91&lt;34,0,ABS(IPMT($C$90/12,34,$C$91,$C$89)))</f>
        <v/>
      </c>
      <c r="M103" s="41">
        <f>IF($C$91&lt;35,0,ABS(IPMT($C$90/12,35,$C$91,$C$89)))</f>
        <v/>
      </c>
      <c r="N103" s="41">
        <f>IF($C$91&lt;36,0,ABS(IPMT($C$90/12,36,$C$91,$C$89)))</f>
        <v/>
      </c>
      <c r="O103" s="315">
        <f>SUM(C103:N103)</f>
        <v/>
      </c>
      <c r="P103" s="5" t="n"/>
      <c r="Q103" s="5" t="n"/>
    </row>
    <row r="104">
      <c r="B104" s="44" t="inlineStr">
        <is>
          <t>Principal</t>
        </is>
      </c>
      <c r="C104" s="41">
        <f>IF($C$91&lt;25,0,ABS(PPMT($C$90/12,25,$C$91,$C$89)))</f>
        <v/>
      </c>
      <c r="D104" s="41">
        <f>IF($C$91&lt;26,0,ABS(PPMT($C$90/12,26,$C$91,$C$89)))</f>
        <v/>
      </c>
      <c r="E104" s="41">
        <f>IF($C$91&lt;27,0,ABS(PPMT($C$90/12,27,$C$91,$C$89)))</f>
        <v/>
      </c>
      <c r="F104" s="41">
        <f>IF($C$91&lt;28,0,ABS(PPMT($C$90/12,28,$C$91,$C$89)))</f>
        <v/>
      </c>
      <c r="G104" s="41">
        <f>IF($C$91&lt;29,0,ABS(PPMT($C$90/12,29,$C$91,$C$89)))</f>
        <v/>
      </c>
      <c r="H104" s="41">
        <f>IF($C$91&lt;30,0,ABS(PPMT($C$90/12,30,$C$91,$C$89)))</f>
        <v/>
      </c>
      <c r="I104" s="41">
        <f>IF($C$91&lt;31,0,ABS(PPMT($C$90/12,31,$C$91,$C$89)))</f>
        <v/>
      </c>
      <c r="J104" s="41">
        <f>IF($C$91&lt;32,0,ABS(PPMT($C$90/12,32,$C$91,$C$89)))</f>
        <v/>
      </c>
      <c r="K104" s="41">
        <f>IF($C$91&lt;33,0,ABS(PPMT($C$90/12,33,$C$91,$C$89)))</f>
        <v/>
      </c>
      <c r="L104" s="41">
        <f>IF($C$91&lt;34,0,ABS(PPMT($C$90/12,34,$C$91,$C$89)))</f>
        <v/>
      </c>
      <c r="M104" s="41">
        <f>IF($C$91&lt;35,0,ABS(PPMT($C$90/12,35,$C$91,$C$89)))</f>
        <v/>
      </c>
      <c r="N104" s="41">
        <f>IF($C$91&lt;36,0,ABS(PPMT($C$90/12,36,$C$91,$C$89)))</f>
        <v/>
      </c>
      <c r="O104" s="315">
        <f>SUM(C104:N104)</f>
        <v/>
      </c>
      <c r="P104" s="5" t="n"/>
      <c r="Q104" s="5" t="n"/>
    </row>
    <row r="105">
      <c r="B105" s="44" t="inlineStr">
        <is>
          <t>Loan Balance</t>
        </is>
      </c>
      <c r="C105" s="42">
        <f>N101-C104</f>
        <v/>
      </c>
      <c r="D105" s="42">
        <f>C105-D104</f>
        <v/>
      </c>
      <c r="E105" s="42">
        <f>D105-E104</f>
        <v/>
      </c>
      <c r="F105" s="42">
        <f>E105-F104</f>
        <v/>
      </c>
      <c r="G105" s="42">
        <f>F105-G104</f>
        <v/>
      </c>
      <c r="H105" s="42">
        <f>G105-H104</f>
        <v/>
      </c>
      <c r="I105" s="42">
        <f>H105-I104</f>
        <v/>
      </c>
      <c r="J105" s="42">
        <f>I105-J104</f>
        <v/>
      </c>
      <c r="K105" s="42">
        <f>J105-K104</f>
        <v/>
      </c>
      <c r="L105" s="42">
        <f>K105-L104</f>
        <v/>
      </c>
      <c r="M105" s="42">
        <f>L105-M104</f>
        <v/>
      </c>
      <c r="N105" s="42">
        <f>M105-N104</f>
        <v/>
      </c>
      <c r="O105" s="37" t="n"/>
      <c r="P105" s="5" t="n"/>
      <c r="Q105" s="5" t="n"/>
    </row>
    <row r="106">
      <c r="B106" s="9" t="n"/>
      <c r="C106" s="9" t="n"/>
      <c r="D106" s="5" t="n"/>
      <c r="E106" s="5" t="n"/>
      <c r="F106" s="5" t="n"/>
      <c r="G106" s="5" t="n"/>
      <c r="H106" s="5" t="n"/>
      <c r="I106" s="5" t="n"/>
      <c r="J106" s="5" t="n"/>
      <c r="K106" s="5" t="n"/>
      <c r="L106" s="5" t="n"/>
      <c r="M106" s="5" t="n"/>
      <c r="N106" s="5" t="n"/>
      <c r="O106" s="5" t="n"/>
      <c r="P106" s="5" t="n"/>
      <c r="Q106" s="5" t="n"/>
    </row>
    <row r="107">
      <c r="B107" s="5" t="n"/>
      <c r="C107" s="5" t="n"/>
      <c r="D107" s="5" t="n"/>
      <c r="E107" s="5" t="n"/>
      <c r="F107" s="5" t="n"/>
      <c r="G107" s="5" t="n"/>
      <c r="H107" s="5" t="n"/>
      <c r="I107" s="5" t="n"/>
      <c r="J107" s="5" t="n"/>
      <c r="K107" s="5" t="n"/>
      <c r="L107" s="5" t="n"/>
      <c r="M107" s="5" t="n"/>
      <c r="N107" s="5" t="n"/>
      <c r="O107" s="5" t="n"/>
      <c r="P107" s="5" t="n"/>
      <c r="Q107" s="5" t="n"/>
    </row>
    <row r="108" ht="13.8" customHeight="1" thickBot="1">
      <c r="B108" s="506" t="inlineStr">
        <is>
          <t>Depreciation</t>
        </is>
      </c>
      <c r="C108" s="520" t="n"/>
      <c r="D108" s="5" t="n"/>
      <c r="E108" s="5" t="n"/>
      <c r="F108" s="5" t="n"/>
      <c r="G108" s="5" t="n"/>
      <c r="H108" s="5" t="n"/>
      <c r="I108" s="5" t="n"/>
      <c r="J108" s="5" t="n"/>
      <c r="K108" s="5" t="n"/>
      <c r="L108" s="5" t="n"/>
      <c r="M108" s="5" t="n"/>
      <c r="N108" s="5" t="n"/>
      <c r="O108" s="5" t="n"/>
      <c r="P108" s="5" t="n"/>
      <c r="Q108" s="5" t="n"/>
    </row>
    <row r="109" ht="13.8" customHeight="1" thickTop="1">
      <c r="B109" s="349">
        <f>'1-StartingPoint'!B10</f>
        <v/>
      </c>
      <c r="C109" s="390">
        <f>'1-StartingPoint'!D10</f>
        <v/>
      </c>
      <c r="D109" s="5" t="n"/>
      <c r="E109" s="5" t="n"/>
      <c r="F109" s="5" t="n"/>
      <c r="G109" s="5" t="n"/>
      <c r="H109" s="5" t="n"/>
      <c r="I109" s="5" t="n"/>
      <c r="J109" s="5" t="n"/>
      <c r="K109" s="5" t="n"/>
      <c r="L109" s="5" t="n"/>
      <c r="M109" s="5" t="n"/>
      <c r="N109" s="5" t="n"/>
      <c r="O109" s="5" t="n"/>
      <c r="P109" s="5" t="n"/>
      <c r="Q109" s="5" t="n"/>
    </row>
    <row r="110">
      <c r="B110" s="47">
        <f>'1-StartingPoint'!B11</f>
        <v/>
      </c>
      <c r="C110" s="288">
        <f>'1-StartingPoint'!D11</f>
        <v/>
      </c>
      <c r="D110" s="5" t="n"/>
      <c r="E110" s="5" t="n"/>
      <c r="F110" s="5" t="n"/>
      <c r="G110" s="5" t="n"/>
      <c r="H110" s="5" t="n"/>
      <c r="I110" s="5" t="n"/>
      <c r="J110" s="5" t="n"/>
      <c r="K110" s="5" t="n"/>
      <c r="L110" s="5" t="n"/>
      <c r="M110" s="5" t="n"/>
      <c r="N110" s="5" t="n"/>
      <c r="O110" s="5" t="n"/>
      <c r="P110" s="5" t="n"/>
      <c r="Q110" s="5" t="n"/>
    </row>
    <row r="111">
      <c r="B111" s="47">
        <f>'1-StartingPoint'!B12</f>
        <v/>
      </c>
      <c r="C111" s="288">
        <f>'1-StartingPoint'!D12</f>
        <v/>
      </c>
      <c r="D111" s="5" t="n"/>
      <c r="E111" s="5" t="n"/>
      <c r="F111" s="5" t="n"/>
      <c r="G111" s="5" t="n"/>
      <c r="H111" s="5" t="n"/>
      <c r="I111" s="5" t="n"/>
      <c r="J111" s="5" t="n"/>
      <c r="K111" s="5" t="n"/>
      <c r="L111" s="5" t="n"/>
      <c r="M111" s="5" t="n"/>
      <c r="N111" s="5" t="n"/>
      <c r="O111" s="5" t="n"/>
      <c r="P111" s="5" t="n"/>
      <c r="Q111" s="5" t="n"/>
    </row>
    <row r="112">
      <c r="B112" s="47">
        <f>'1-StartingPoint'!B13</f>
        <v/>
      </c>
      <c r="C112" s="288">
        <f>'1-StartingPoint'!D13</f>
        <v/>
      </c>
      <c r="D112" s="5" t="n"/>
      <c r="E112" s="5" t="n"/>
      <c r="F112" s="5" t="n"/>
      <c r="G112" s="5" t="n"/>
      <c r="H112" s="5" t="n"/>
      <c r="I112" s="5" t="n"/>
      <c r="J112" s="5" t="n"/>
      <c r="K112" s="5" t="n"/>
      <c r="L112" s="5" t="n"/>
      <c r="M112" s="5" t="n"/>
      <c r="N112" s="5" t="n"/>
      <c r="O112" s="5" t="n"/>
      <c r="P112" s="5" t="n"/>
      <c r="Q112" s="5" t="n"/>
    </row>
    <row r="113">
      <c r="B113" s="47">
        <f>'1-StartingPoint'!B14</f>
        <v/>
      </c>
      <c r="C113" s="288">
        <f>'1-StartingPoint'!D14</f>
        <v/>
      </c>
      <c r="D113" s="5" t="n"/>
      <c r="E113" s="5" t="n"/>
      <c r="F113" s="5" t="n"/>
      <c r="G113" s="5" t="n"/>
      <c r="H113" s="5" t="n"/>
      <c r="I113" s="5" t="n"/>
      <c r="J113" s="5" t="n"/>
      <c r="K113" s="5" t="n"/>
      <c r="L113" s="5" t="n"/>
      <c r="M113" s="5" t="n"/>
      <c r="N113" s="5" t="n"/>
      <c r="O113" s="5" t="n"/>
      <c r="P113" s="5" t="n"/>
      <c r="Q113" s="5" t="n"/>
    </row>
    <row r="114">
      <c r="B114" s="47">
        <f>'1-StartingPoint'!B15</f>
        <v/>
      </c>
      <c r="C114" s="288">
        <f>'1-StartingPoint'!D15</f>
        <v/>
      </c>
      <c r="D114" s="5" t="n"/>
      <c r="E114" s="5" t="n"/>
      <c r="F114" s="5" t="n"/>
      <c r="G114" s="5" t="n"/>
      <c r="H114" s="5" t="n"/>
      <c r="I114" s="5" t="n"/>
      <c r="J114" s="5" t="n"/>
      <c r="K114" s="5" t="n"/>
      <c r="L114" s="5" t="n"/>
      <c r="M114" s="5" t="n"/>
      <c r="N114" s="5" t="n"/>
      <c r="O114" s="5" t="n"/>
      <c r="P114" s="5" t="n"/>
      <c r="Q114" s="5" t="n"/>
    </row>
    <row r="115">
      <c r="B115" s="26" t="n"/>
      <c r="C115" s="43">
        <f>'3a-SalesForecastYear1'!$C$16</f>
        <v/>
      </c>
      <c r="D115" s="43">
        <f>'3a-SalesForecastYear1'!$D$16</f>
        <v/>
      </c>
      <c r="E115" s="43">
        <f>'3a-SalesForecastYear1'!$E$16</f>
        <v/>
      </c>
      <c r="F115" s="43">
        <f>'3a-SalesForecastYear1'!$F$16</f>
        <v/>
      </c>
      <c r="G115" s="43">
        <f>'3a-SalesForecastYear1'!$G$16</f>
        <v/>
      </c>
      <c r="H115" s="43">
        <f>'3a-SalesForecastYear1'!$H$16</f>
        <v/>
      </c>
      <c r="I115" s="43">
        <f>'3a-SalesForecastYear1'!$I$16</f>
        <v/>
      </c>
      <c r="J115" s="43">
        <f>'3a-SalesForecastYear1'!$J$16</f>
        <v/>
      </c>
      <c r="K115" s="43">
        <f>'3a-SalesForecastYear1'!$K$16</f>
        <v/>
      </c>
      <c r="L115" s="43">
        <f>'3a-SalesForecastYear1'!$L$16</f>
        <v/>
      </c>
      <c r="M115" s="43">
        <f>'3a-SalesForecastYear1'!$M$16</f>
        <v/>
      </c>
      <c r="N115" s="43">
        <f>'3a-SalesForecastYear1'!$N$16</f>
        <v/>
      </c>
      <c r="O115" s="43" t="inlineStr">
        <is>
          <t>Totals</t>
        </is>
      </c>
      <c r="P115" s="5" t="n"/>
      <c r="Q115" s="5" t="n"/>
    </row>
    <row r="116">
      <c r="B116" s="26" t="inlineStr">
        <is>
          <t>Year One</t>
        </is>
      </c>
      <c r="C116" s="30" t="n"/>
      <c r="D116" s="30" t="n"/>
      <c r="E116" s="30" t="n"/>
      <c r="F116" s="30" t="n"/>
      <c r="G116" s="30" t="n"/>
      <c r="H116" s="30" t="n"/>
      <c r="I116" s="30" t="n"/>
      <c r="J116" s="30" t="n"/>
      <c r="K116" s="30" t="n"/>
      <c r="L116" s="30" t="n"/>
      <c r="M116" s="30" t="n"/>
      <c r="N116" s="30" t="n"/>
      <c r="O116" s="30" t="n"/>
      <c r="P116" s="5" t="n"/>
      <c r="Q116" s="5" t="n"/>
    </row>
    <row r="117">
      <c r="B117" s="44" t="inlineStr">
        <is>
          <t>Starting Depreciation</t>
        </is>
      </c>
      <c r="C117" s="41">
        <f>(Buildings/'1-StartingPoint'!$D$10/12)+(LeaseImprovements/'1-StartingPoint'!$D$11/12)+(Equipment/'1-StartingPoint'!$D$12/12)+(Furniture/'1-StartingPoint'!$D$13/12)+(Vehicles/'1-StartingPoint'!$D$14/12)+(OtherFixedAssets/'1-StartingPoint'!$D$15/12)</f>
        <v/>
      </c>
      <c r="D117" s="41">
        <f>C119</f>
        <v/>
      </c>
      <c r="E117" s="41">
        <f>D119</f>
        <v/>
      </c>
      <c r="F117" s="41">
        <f>E119</f>
        <v/>
      </c>
      <c r="G117" s="41">
        <f>F119</f>
        <v/>
      </c>
      <c r="H117" s="41">
        <f>G119</f>
        <v/>
      </c>
      <c r="I117" s="41">
        <f>H119</f>
        <v/>
      </c>
      <c r="J117" s="41">
        <f>I119</f>
        <v/>
      </c>
      <c r="K117" s="41">
        <f>J119</f>
        <v/>
      </c>
      <c r="L117" s="41">
        <f>K119</f>
        <v/>
      </c>
      <c r="M117" s="41">
        <f>L119</f>
        <v/>
      </c>
      <c r="N117" s="41">
        <f>M119</f>
        <v/>
      </c>
      <c r="O117" s="315">
        <f>SUM(C117:N117)</f>
        <v/>
      </c>
      <c r="P117" s="5" t="n"/>
      <c r="Q117" s="5" t="n"/>
    </row>
    <row r="118">
      <c r="B118" s="44" t="inlineStr">
        <is>
          <t>Additional Depreciation</t>
        </is>
      </c>
      <c r="C118" s="41" t="n">
        <v>0</v>
      </c>
      <c r="D118" s="41">
        <f>('4-AdditionalInputs'!E29/'4-AdditionalInputs'!$C$29/12)+('4-AdditionalInputs'!E30/'4-AdditionalInputs'!$C$30/12)+('4-AdditionalInputs'!E31/'4-AdditionalInputs'!$C$31/12)+('4-AdditionalInputs'!E32/'4-AdditionalInputs'!$C$32/12)+('4-AdditionalInputs'!E33/'4-AdditionalInputs'!$C$33/12)+('4-AdditionalInputs'!E34/'4-AdditionalInputs'!$C$34/12)</f>
        <v/>
      </c>
      <c r="E118" s="41">
        <f>('4-AdditionalInputs'!F29/'4-AdditionalInputs'!$C$29/12)+('4-AdditionalInputs'!F30/'4-AdditionalInputs'!$C$30/12)+('4-AdditionalInputs'!F31/'4-AdditionalInputs'!$C$31/12)+('4-AdditionalInputs'!F32/'4-AdditionalInputs'!$C$32/12)+('4-AdditionalInputs'!F33/'4-AdditionalInputs'!$C$33/12)+('4-AdditionalInputs'!F34/'4-AdditionalInputs'!$C$34/12)</f>
        <v/>
      </c>
      <c r="F118" s="41">
        <f>('4-AdditionalInputs'!G29/'4-AdditionalInputs'!$C$29/12)+('4-AdditionalInputs'!G30/'4-AdditionalInputs'!$C$30/12)+('4-AdditionalInputs'!G31/'4-AdditionalInputs'!$C$31/12)+('4-AdditionalInputs'!G32/'4-AdditionalInputs'!$C$32/12)+('4-AdditionalInputs'!G33/'4-AdditionalInputs'!$C$33/12)+('4-AdditionalInputs'!G34/'4-AdditionalInputs'!$C$34/12)</f>
        <v/>
      </c>
      <c r="G118" s="41">
        <f>('4-AdditionalInputs'!H29/'4-AdditionalInputs'!$C$29/12)+('4-AdditionalInputs'!H30/'4-AdditionalInputs'!$C$30/12)+('4-AdditionalInputs'!H31/'4-AdditionalInputs'!$C$31/12)+('4-AdditionalInputs'!H32/'4-AdditionalInputs'!$C$32/12)+('4-AdditionalInputs'!H33/'4-AdditionalInputs'!$C$33/12)+('4-AdditionalInputs'!H34/'4-AdditionalInputs'!$C$34/12)</f>
        <v/>
      </c>
      <c r="H118" s="41">
        <f>('4-AdditionalInputs'!I29/'4-AdditionalInputs'!$C$29/12)+('4-AdditionalInputs'!I30/'4-AdditionalInputs'!$C$30/12)+('4-AdditionalInputs'!I31/'4-AdditionalInputs'!$C$31/12)+('4-AdditionalInputs'!I32/'4-AdditionalInputs'!$C$32/12)+('4-AdditionalInputs'!I33/'4-AdditionalInputs'!$C$33/12)+('4-AdditionalInputs'!I34/'4-AdditionalInputs'!$C$34/12)</f>
        <v/>
      </c>
      <c r="I118" s="41">
        <f>('4-AdditionalInputs'!J29/'4-AdditionalInputs'!$C$29/12)+('4-AdditionalInputs'!J30/'4-AdditionalInputs'!$C$30/12)+('4-AdditionalInputs'!J31/'4-AdditionalInputs'!$C$31/12)+('4-AdditionalInputs'!J32/'4-AdditionalInputs'!$C$32/12)+('4-AdditionalInputs'!J33/'4-AdditionalInputs'!$C$33/12)+('4-AdditionalInputs'!J34/'4-AdditionalInputs'!$C$34/12)</f>
        <v/>
      </c>
      <c r="J118" s="41">
        <f>('4-AdditionalInputs'!K29/'4-AdditionalInputs'!$C$29/12)+('4-AdditionalInputs'!K30/'4-AdditionalInputs'!$C$30/12)+('4-AdditionalInputs'!K31/'4-AdditionalInputs'!$C$31/12)+('4-AdditionalInputs'!K32/'4-AdditionalInputs'!$C$32/12)+('4-AdditionalInputs'!K33/'4-AdditionalInputs'!$C$33/12)+('4-AdditionalInputs'!K34/'4-AdditionalInputs'!$C$34/12)</f>
        <v/>
      </c>
      <c r="K118" s="41">
        <f>('4-AdditionalInputs'!L29/'4-AdditionalInputs'!$C$29/12)+('4-AdditionalInputs'!L30/'4-AdditionalInputs'!$C$30/12)+('4-AdditionalInputs'!L31/'4-AdditionalInputs'!$C$31/12)+('4-AdditionalInputs'!L32/'4-AdditionalInputs'!$C$32/12)+('4-AdditionalInputs'!L33/'4-AdditionalInputs'!$C$33/12)+('4-AdditionalInputs'!L34/'4-AdditionalInputs'!$C$34/12)</f>
        <v/>
      </c>
      <c r="L118" s="41">
        <f>('4-AdditionalInputs'!M29/'4-AdditionalInputs'!$C$29/12)+('4-AdditionalInputs'!M30/'4-AdditionalInputs'!$C$30/12)+('4-AdditionalInputs'!M31/'4-AdditionalInputs'!$C$31/12)+('4-AdditionalInputs'!M32/'4-AdditionalInputs'!$C$32/12)+('4-AdditionalInputs'!M33/'4-AdditionalInputs'!$C$33/12)+('4-AdditionalInputs'!M34/'4-AdditionalInputs'!$C$34/12)</f>
        <v/>
      </c>
      <c r="M118" s="41">
        <f>('4-AdditionalInputs'!N29/'4-AdditionalInputs'!$C$29/12)+('4-AdditionalInputs'!N30/'4-AdditionalInputs'!$C$30/12)+('4-AdditionalInputs'!N31/'4-AdditionalInputs'!$C$31/12)+('4-AdditionalInputs'!N32/'4-AdditionalInputs'!$C$32/12)+('4-AdditionalInputs'!N33/'4-AdditionalInputs'!$C$33/12)+('4-AdditionalInputs'!N34/'4-AdditionalInputs'!$C$34/12)</f>
        <v/>
      </c>
      <c r="N118" s="41">
        <f>('4-AdditionalInputs'!O29/'4-AdditionalInputs'!$C$29/12)+('4-AdditionalInputs'!O30/'4-AdditionalInputs'!$C$30/12)+('4-AdditionalInputs'!O31/'4-AdditionalInputs'!$C$31/12)+('4-AdditionalInputs'!O32/'4-AdditionalInputs'!$C$32/12)+('4-AdditionalInputs'!O33/'4-AdditionalInputs'!$C$33/12)+('4-AdditionalInputs'!O34/'4-AdditionalInputs'!$C$34/12)</f>
        <v/>
      </c>
      <c r="O118" s="41" t="n"/>
      <c r="P118" s="5" t="n"/>
      <c r="Q118" s="5" t="n"/>
    </row>
    <row r="119">
      <c r="B119" s="44" t="inlineStr">
        <is>
          <t>Ending Depreciation</t>
        </is>
      </c>
      <c r="C119" s="42">
        <f>SUM(C117:C118)</f>
        <v/>
      </c>
      <c r="D119" s="42">
        <f>SUM(D117:D118)</f>
        <v/>
      </c>
      <c r="E119" s="42">
        <f>SUM(E117:E118)</f>
        <v/>
      </c>
      <c r="F119" s="42">
        <f>SUM(F117:F118)</f>
        <v/>
      </c>
      <c r="G119" s="42">
        <f>SUM(G117:G118)</f>
        <v/>
      </c>
      <c r="H119" s="42">
        <f>SUM(H117:H118)</f>
        <v/>
      </c>
      <c r="I119" s="42">
        <f>SUM(I117:I118)</f>
        <v/>
      </c>
      <c r="J119" s="42">
        <f>SUM(J117:J118)</f>
        <v/>
      </c>
      <c r="K119" s="42">
        <f>SUM(K117:K118)</f>
        <v/>
      </c>
      <c r="L119" s="42">
        <f>SUM(L117:L118)</f>
        <v/>
      </c>
      <c r="M119" s="42">
        <f>SUM(M117:M118)</f>
        <v/>
      </c>
      <c r="N119" s="42">
        <f>SUM(N117:N118)</f>
        <v/>
      </c>
      <c r="O119" s="315">
        <f>SUM(C119:N119)</f>
        <v/>
      </c>
      <c r="P119" s="5" t="n"/>
      <c r="Q119" s="5" t="n"/>
    </row>
    <row r="120">
      <c r="B120" s="26" t="inlineStr">
        <is>
          <t>Year Two</t>
        </is>
      </c>
      <c r="C120" s="30" t="n"/>
      <c r="D120" s="30" t="n"/>
      <c r="E120" s="30" t="n"/>
      <c r="F120" s="30" t="n"/>
      <c r="G120" s="30" t="n"/>
      <c r="H120" s="30" t="n"/>
      <c r="I120" s="30" t="n"/>
      <c r="J120" s="30" t="n"/>
      <c r="K120" s="30" t="n"/>
      <c r="L120" s="30" t="n"/>
      <c r="M120" s="30" t="n"/>
      <c r="N120" s="30" t="n"/>
      <c r="O120" s="41" t="n"/>
      <c r="P120" s="5" t="n"/>
      <c r="Q120" s="5" t="n"/>
    </row>
    <row r="121">
      <c r="B121" s="44" t="inlineStr">
        <is>
          <t>Starting Depreciation</t>
        </is>
      </c>
      <c r="C121" s="41">
        <f>N119</f>
        <v/>
      </c>
      <c r="D121" s="41">
        <f>C123</f>
        <v/>
      </c>
      <c r="E121" s="41">
        <f>D123</f>
        <v/>
      </c>
      <c r="F121" s="41">
        <f>E123</f>
        <v/>
      </c>
      <c r="G121" s="41">
        <f>F123</f>
        <v/>
      </c>
      <c r="H121" s="41">
        <f>G123</f>
        <v/>
      </c>
      <c r="I121" s="41">
        <f>H123</f>
        <v/>
      </c>
      <c r="J121" s="41">
        <f>I123</f>
        <v/>
      </c>
      <c r="K121" s="41">
        <f>J123</f>
        <v/>
      </c>
      <c r="L121" s="41">
        <f>K123</f>
        <v/>
      </c>
      <c r="M121" s="41">
        <f>L123</f>
        <v/>
      </c>
      <c r="N121" s="41">
        <f>M123</f>
        <v/>
      </c>
      <c r="O121" s="315">
        <f>SUM(C121:N121)</f>
        <v/>
      </c>
      <c r="P121" s="5" t="n"/>
      <c r="Q121" s="5" t="n"/>
    </row>
    <row r="122">
      <c r="B122" s="44" t="inlineStr">
        <is>
          <t>Additional Depreciation</t>
        </is>
      </c>
      <c r="C122" s="41">
        <f>('4-AdditionalInputs'!$Q$29/'4-AdditionalInputs'!$C$29/12)+('4-AdditionalInputs'!$Q$30/'4-AdditionalInputs'!$C$30/12)+('4-AdditionalInputs'!$Q$31/'4-AdditionalInputs'!$C$31/12)+('4-AdditionalInputs'!$Q$32/'4-AdditionalInputs'!$C$32/12)+('4-AdditionalInputs'!$Q$33/'4-AdditionalInputs'!$C$33/12)+('4-AdditionalInputs'!$Q$34/'4-AdditionalInputs'!$C$34/12)</f>
        <v/>
      </c>
      <c r="D122" s="41">
        <f>('4-AdditionalInputs'!$Q$29/'4-AdditionalInputs'!$C$29/12)+('4-AdditionalInputs'!$Q$30/'4-AdditionalInputs'!$C$30/12)+('4-AdditionalInputs'!$Q$31/'4-AdditionalInputs'!$C$31/12)+('4-AdditionalInputs'!$Q$32/'4-AdditionalInputs'!$C$32/12)+('4-AdditionalInputs'!$Q$33/'4-AdditionalInputs'!$C$33/12)+('4-AdditionalInputs'!$Q$34/'4-AdditionalInputs'!$C$34/12)</f>
        <v/>
      </c>
      <c r="E122" s="41">
        <f>('4-AdditionalInputs'!$Q$29/'4-AdditionalInputs'!$C$29/12)+('4-AdditionalInputs'!$Q$30/'4-AdditionalInputs'!$C$30/12)+('4-AdditionalInputs'!$Q$31/'4-AdditionalInputs'!$C$31/12)+('4-AdditionalInputs'!$Q$32/'4-AdditionalInputs'!$C$32/12)+('4-AdditionalInputs'!$Q$33/'4-AdditionalInputs'!$C$33/12)+('4-AdditionalInputs'!$Q$34/'4-AdditionalInputs'!$C$34/12)</f>
        <v/>
      </c>
      <c r="F122" s="41">
        <f>('4-AdditionalInputs'!$Q$29/'4-AdditionalInputs'!$C$29/12)+('4-AdditionalInputs'!$Q$30/'4-AdditionalInputs'!$C$30/12)+('4-AdditionalInputs'!$Q$31/'4-AdditionalInputs'!$C$31/12)+('4-AdditionalInputs'!$Q$32/'4-AdditionalInputs'!$C$32/12)+('4-AdditionalInputs'!$Q$33/'4-AdditionalInputs'!$C$33/12)+('4-AdditionalInputs'!$Q$34/'4-AdditionalInputs'!$C$34/12)</f>
        <v/>
      </c>
      <c r="G122" s="41">
        <f>('4-AdditionalInputs'!$Q$29/'4-AdditionalInputs'!$C$29/12)+('4-AdditionalInputs'!$Q$30/'4-AdditionalInputs'!$C$30/12)+('4-AdditionalInputs'!$Q$31/'4-AdditionalInputs'!$C$31/12)+('4-AdditionalInputs'!$Q$32/'4-AdditionalInputs'!$C$32/12)+('4-AdditionalInputs'!$Q$33/'4-AdditionalInputs'!$C$33/12)+('4-AdditionalInputs'!$Q$34/'4-AdditionalInputs'!$C$34/12)</f>
        <v/>
      </c>
      <c r="H122" s="41">
        <f>('4-AdditionalInputs'!$Q$29/'4-AdditionalInputs'!$C$29/12)+('4-AdditionalInputs'!$Q$30/'4-AdditionalInputs'!$C$30/12)+('4-AdditionalInputs'!$Q$31/'4-AdditionalInputs'!$C$31/12)+('4-AdditionalInputs'!$Q$32/'4-AdditionalInputs'!$C$32/12)+('4-AdditionalInputs'!$Q$33/'4-AdditionalInputs'!$C$33/12)+('4-AdditionalInputs'!$Q$34/'4-AdditionalInputs'!$C$34/12)</f>
        <v/>
      </c>
      <c r="I122" s="41">
        <f>('4-AdditionalInputs'!$Q$29/'4-AdditionalInputs'!$C$29/12)+('4-AdditionalInputs'!$Q$30/'4-AdditionalInputs'!$C$30/12)+('4-AdditionalInputs'!$Q$31/'4-AdditionalInputs'!$C$31/12)+('4-AdditionalInputs'!$Q$32/'4-AdditionalInputs'!$C$32/12)+('4-AdditionalInputs'!$Q$33/'4-AdditionalInputs'!$C$33/12)+('4-AdditionalInputs'!$Q$34/'4-AdditionalInputs'!$C$34/12)</f>
        <v/>
      </c>
      <c r="J122" s="41">
        <f>('4-AdditionalInputs'!$Q$29/'4-AdditionalInputs'!$C$29/12)+('4-AdditionalInputs'!$Q$30/'4-AdditionalInputs'!$C$30/12)+('4-AdditionalInputs'!$Q$31/'4-AdditionalInputs'!$C$31/12)+('4-AdditionalInputs'!$Q$32/'4-AdditionalInputs'!$C$32/12)+('4-AdditionalInputs'!$Q$33/'4-AdditionalInputs'!$C$33/12)+('4-AdditionalInputs'!$Q$34/'4-AdditionalInputs'!$C$34/12)</f>
        <v/>
      </c>
      <c r="K122" s="41">
        <f>('4-AdditionalInputs'!$Q$29/'4-AdditionalInputs'!$C$29/12)+('4-AdditionalInputs'!$Q$30/'4-AdditionalInputs'!$C$30/12)+('4-AdditionalInputs'!$Q$31/'4-AdditionalInputs'!$C$31/12)+('4-AdditionalInputs'!$Q$32/'4-AdditionalInputs'!$C$32/12)+('4-AdditionalInputs'!$Q$33/'4-AdditionalInputs'!$C$33/12)+('4-AdditionalInputs'!$Q$34/'4-AdditionalInputs'!$C$34/12)</f>
        <v/>
      </c>
      <c r="L122" s="41">
        <f>('4-AdditionalInputs'!$Q$29/'4-AdditionalInputs'!$C$29/12)+('4-AdditionalInputs'!$Q$30/'4-AdditionalInputs'!$C$30/12)+('4-AdditionalInputs'!$Q$31/'4-AdditionalInputs'!$C$31/12)+('4-AdditionalInputs'!$Q$32/'4-AdditionalInputs'!$C$32/12)+('4-AdditionalInputs'!$Q$33/'4-AdditionalInputs'!$C$33/12)+('4-AdditionalInputs'!$Q$34/'4-AdditionalInputs'!$C$34/12)</f>
        <v/>
      </c>
      <c r="M122" s="41">
        <f>('4-AdditionalInputs'!$Q$29/'4-AdditionalInputs'!$C$29/12)+('4-AdditionalInputs'!$Q$30/'4-AdditionalInputs'!$C$30/12)+('4-AdditionalInputs'!$Q$31/'4-AdditionalInputs'!$C$31/12)+('4-AdditionalInputs'!$Q$32/'4-AdditionalInputs'!$C$32/12)+('4-AdditionalInputs'!$Q$33/'4-AdditionalInputs'!$C$33/12)+('4-AdditionalInputs'!$Q$34/'4-AdditionalInputs'!$C$34/12)</f>
        <v/>
      </c>
      <c r="N122" s="41">
        <f>('4-AdditionalInputs'!$Q$29/'4-AdditionalInputs'!$C$29/12)+('4-AdditionalInputs'!$Q$30/'4-AdditionalInputs'!$C$30/12)+('4-AdditionalInputs'!$Q$31/'4-AdditionalInputs'!$C$31/12)+('4-AdditionalInputs'!$Q$32/'4-AdditionalInputs'!$C$32/12)+('4-AdditionalInputs'!$Q$33/'4-AdditionalInputs'!$C$33/12)+('4-AdditionalInputs'!$Q$34/'4-AdditionalInputs'!$C$34/12)</f>
        <v/>
      </c>
      <c r="O122" s="41" t="n"/>
      <c r="P122" s="5" t="n"/>
      <c r="Q122" s="5" t="n"/>
    </row>
    <row r="123">
      <c r="B123" s="44" t="inlineStr">
        <is>
          <t>Ending Depreciation</t>
        </is>
      </c>
      <c r="C123" s="42">
        <f>SUM(C121:C122)</f>
        <v/>
      </c>
      <c r="D123" s="42">
        <f>SUM(D121:D122)</f>
        <v/>
      </c>
      <c r="E123" s="42">
        <f>SUM(E121:E122)</f>
        <v/>
      </c>
      <c r="F123" s="42">
        <f>SUM(F121:F122)</f>
        <v/>
      </c>
      <c r="G123" s="42">
        <f>SUM(G121:G122)</f>
        <v/>
      </c>
      <c r="H123" s="42">
        <f>SUM(H121:H122)</f>
        <v/>
      </c>
      <c r="I123" s="42">
        <f>SUM(I121:I122)</f>
        <v/>
      </c>
      <c r="J123" s="42">
        <f>SUM(J121:J122)</f>
        <v/>
      </c>
      <c r="K123" s="42">
        <f>SUM(K121:K122)</f>
        <v/>
      </c>
      <c r="L123" s="42">
        <f>SUM(L121:L122)</f>
        <v/>
      </c>
      <c r="M123" s="42">
        <f>SUM(M121:M122)</f>
        <v/>
      </c>
      <c r="N123" s="42">
        <f>SUM(N121:N122)</f>
        <v/>
      </c>
      <c r="O123" s="315">
        <f>SUM(C123:N123)</f>
        <v/>
      </c>
      <c r="P123" s="5" t="n"/>
      <c r="Q123" s="5" t="n"/>
    </row>
    <row r="124">
      <c r="B124" s="26" t="inlineStr">
        <is>
          <t>Year Three</t>
        </is>
      </c>
      <c r="C124" s="30" t="n"/>
      <c r="D124" s="30" t="n"/>
      <c r="E124" s="30" t="n"/>
      <c r="F124" s="30" t="n"/>
      <c r="G124" s="30" t="n"/>
      <c r="H124" s="30" t="n"/>
      <c r="I124" s="30" t="n"/>
      <c r="J124" s="30" t="n"/>
      <c r="K124" s="30" t="n"/>
      <c r="L124" s="30" t="n"/>
      <c r="M124" s="30" t="n"/>
      <c r="N124" s="30" t="n"/>
      <c r="O124" s="41" t="n"/>
      <c r="P124" s="5" t="n"/>
      <c r="Q124" s="5" t="n"/>
    </row>
    <row r="125">
      <c r="B125" s="44" t="inlineStr">
        <is>
          <t>Starting Depreciation</t>
        </is>
      </c>
      <c r="C125" s="41">
        <f>N123</f>
        <v/>
      </c>
      <c r="D125" s="41">
        <f>C127</f>
        <v/>
      </c>
      <c r="E125" s="41">
        <f>D127</f>
        <v/>
      </c>
      <c r="F125" s="41">
        <f>E127</f>
        <v/>
      </c>
      <c r="G125" s="41">
        <f>F127</f>
        <v/>
      </c>
      <c r="H125" s="41">
        <f>G127</f>
        <v/>
      </c>
      <c r="I125" s="41">
        <f>H127</f>
        <v/>
      </c>
      <c r="J125" s="41">
        <f>I127</f>
        <v/>
      </c>
      <c r="K125" s="41">
        <f>J127</f>
        <v/>
      </c>
      <c r="L125" s="41">
        <f>K127</f>
        <v/>
      </c>
      <c r="M125" s="41">
        <f>L127</f>
        <v/>
      </c>
      <c r="N125" s="41">
        <f>M127</f>
        <v/>
      </c>
      <c r="O125" s="315">
        <f>SUM(C125:N125)</f>
        <v/>
      </c>
      <c r="P125" s="5" t="n"/>
      <c r="Q125" s="5" t="n"/>
    </row>
    <row r="126">
      <c r="B126" s="44" t="inlineStr">
        <is>
          <t>Additional Depreciation</t>
        </is>
      </c>
      <c r="C126" s="41">
        <f>('4-AdditionalInputs'!$R$29/'4-AdditionalInputs'!$C$29/12)+('4-AdditionalInputs'!$R$30/'4-AdditionalInputs'!$C$30/12)+('4-AdditionalInputs'!$R$31/'4-AdditionalInputs'!$C$31/12)+('4-AdditionalInputs'!$R$32/'4-AdditionalInputs'!$C$32/12)+('4-AdditionalInputs'!$R$33/'4-AdditionalInputs'!$C$33/12)+('4-AdditionalInputs'!$R$34/'4-AdditionalInputs'!$C$34/12)</f>
        <v/>
      </c>
      <c r="D126" s="41">
        <f>('4-AdditionalInputs'!$R$29/'4-AdditionalInputs'!$C$29/12)+('4-AdditionalInputs'!$R$30/'4-AdditionalInputs'!$C$30/12)+('4-AdditionalInputs'!$R$31/'4-AdditionalInputs'!$C$31/12)+('4-AdditionalInputs'!$R$32/'4-AdditionalInputs'!$C$32/12)+('4-AdditionalInputs'!$R$33/'4-AdditionalInputs'!$C$33/12)+('4-AdditionalInputs'!$R$34/'4-AdditionalInputs'!$C$34/12)</f>
        <v/>
      </c>
      <c r="E126" s="41">
        <f>('4-AdditionalInputs'!$R$29/'4-AdditionalInputs'!$C$29/12)+('4-AdditionalInputs'!$R$30/'4-AdditionalInputs'!$C$30/12)+('4-AdditionalInputs'!$R$31/'4-AdditionalInputs'!$C$31/12)+('4-AdditionalInputs'!$R$32/'4-AdditionalInputs'!$C$32/12)+('4-AdditionalInputs'!$R$33/'4-AdditionalInputs'!$C$33/12)+('4-AdditionalInputs'!$R$34/'4-AdditionalInputs'!$C$34/12)</f>
        <v/>
      </c>
      <c r="F126" s="41">
        <f>('4-AdditionalInputs'!$R$29/'4-AdditionalInputs'!$C$29/12)+('4-AdditionalInputs'!$R$30/'4-AdditionalInputs'!$C$30/12)+('4-AdditionalInputs'!$R$31/'4-AdditionalInputs'!$C$31/12)+('4-AdditionalInputs'!$R$32/'4-AdditionalInputs'!$C$32/12)+('4-AdditionalInputs'!$R$33/'4-AdditionalInputs'!$C$33/12)+('4-AdditionalInputs'!$R$34/'4-AdditionalInputs'!$C$34/12)</f>
        <v/>
      </c>
      <c r="G126" s="41">
        <f>('4-AdditionalInputs'!$R$29/'4-AdditionalInputs'!$C$29/12)+('4-AdditionalInputs'!$R$30/'4-AdditionalInputs'!$C$30/12)+('4-AdditionalInputs'!$R$31/'4-AdditionalInputs'!$C$31/12)+('4-AdditionalInputs'!$R$32/'4-AdditionalInputs'!$C$32/12)+('4-AdditionalInputs'!$R$33/'4-AdditionalInputs'!$C$33/12)+('4-AdditionalInputs'!$R$34/'4-AdditionalInputs'!$C$34/12)</f>
        <v/>
      </c>
      <c r="H126" s="41">
        <f>('4-AdditionalInputs'!$R$29/'4-AdditionalInputs'!$C$29/12)+('4-AdditionalInputs'!$R$30/'4-AdditionalInputs'!$C$30/12)+('4-AdditionalInputs'!$R$31/'4-AdditionalInputs'!$C$31/12)+('4-AdditionalInputs'!$R$32/'4-AdditionalInputs'!$C$32/12)+('4-AdditionalInputs'!$R$33/'4-AdditionalInputs'!$C$33/12)+('4-AdditionalInputs'!$R$34/'4-AdditionalInputs'!$C$34/12)</f>
        <v/>
      </c>
      <c r="I126" s="41">
        <f>('4-AdditionalInputs'!$R$29/'4-AdditionalInputs'!$C$29/12)+('4-AdditionalInputs'!$R$30/'4-AdditionalInputs'!$C$30/12)+('4-AdditionalInputs'!$R$31/'4-AdditionalInputs'!$C$31/12)+('4-AdditionalInputs'!$R$32/'4-AdditionalInputs'!$C$32/12)+('4-AdditionalInputs'!$R$33/'4-AdditionalInputs'!$C$33/12)+('4-AdditionalInputs'!$R$34/'4-AdditionalInputs'!$C$34/12)</f>
        <v/>
      </c>
      <c r="J126" s="41">
        <f>('4-AdditionalInputs'!$R$29/'4-AdditionalInputs'!$C$29/12)+('4-AdditionalInputs'!$R$30/'4-AdditionalInputs'!$C$30/12)+('4-AdditionalInputs'!$R$31/'4-AdditionalInputs'!$C$31/12)+('4-AdditionalInputs'!$R$32/'4-AdditionalInputs'!$C$32/12)+('4-AdditionalInputs'!$R$33/'4-AdditionalInputs'!$C$33/12)+('4-AdditionalInputs'!$R$34/'4-AdditionalInputs'!$C$34/12)</f>
        <v/>
      </c>
      <c r="K126" s="41">
        <f>('4-AdditionalInputs'!$R$29/'4-AdditionalInputs'!$C$29/12)+('4-AdditionalInputs'!$R$30/'4-AdditionalInputs'!$C$30/12)+('4-AdditionalInputs'!$R$31/'4-AdditionalInputs'!$C$31/12)+('4-AdditionalInputs'!$R$32/'4-AdditionalInputs'!$C$32/12)+('4-AdditionalInputs'!$R$33/'4-AdditionalInputs'!$C$33/12)+('4-AdditionalInputs'!$R$34/'4-AdditionalInputs'!$C$34/12)</f>
        <v/>
      </c>
      <c r="L126" s="41">
        <f>('4-AdditionalInputs'!$R$29/'4-AdditionalInputs'!$C$29/12)+('4-AdditionalInputs'!$R$30/'4-AdditionalInputs'!$C$30/12)+('4-AdditionalInputs'!$R$31/'4-AdditionalInputs'!$C$31/12)+('4-AdditionalInputs'!$R$32/'4-AdditionalInputs'!$C$32/12)+('4-AdditionalInputs'!$R$33/'4-AdditionalInputs'!$C$33/12)+('4-AdditionalInputs'!$R$34/'4-AdditionalInputs'!$C$34/12)</f>
        <v/>
      </c>
      <c r="M126" s="41">
        <f>('4-AdditionalInputs'!$R$29/'4-AdditionalInputs'!$C$29/12)+('4-AdditionalInputs'!$R$30/'4-AdditionalInputs'!$C$30/12)+('4-AdditionalInputs'!$R$31/'4-AdditionalInputs'!$C$31/12)+('4-AdditionalInputs'!$R$32/'4-AdditionalInputs'!$C$32/12)+('4-AdditionalInputs'!$R$33/'4-AdditionalInputs'!$C$33/12)+('4-AdditionalInputs'!$R$34/'4-AdditionalInputs'!$C$34/12)</f>
        <v/>
      </c>
      <c r="N126" s="41">
        <f>('4-AdditionalInputs'!$R$29/'4-AdditionalInputs'!$C$29/12)+('4-AdditionalInputs'!$R$30/'4-AdditionalInputs'!$C$30/12)+('4-AdditionalInputs'!$R$31/'4-AdditionalInputs'!$C$31/12)+('4-AdditionalInputs'!$R$32/'4-AdditionalInputs'!$C$32/12)+('4-AdditionalInputs'!$R$33/'4-AdditionalInputs'!$C$33/12)+('4-AdditionalInputs'!$R$34/'4-AdditionalInputs'!$C$34/12)</f>
        <v/>
      </c>
      <c r="O126" s="41" t="n"/>
      <c r="P126" s="5" t="n"/>
      <c r="Q126" s="5" t="n"/>
    </row>
    <row r="127">
      <c r="B127" s="44" t="inlineStr">
        <is>
          <t>Ending Deprecation</t>
        </is>
      </c>
      <c r="C127" s="42">
        <f>SUM(C125:C126)</f>
        <v/>
      </c>
      <c r="D127" s="42">
        <f>SUM(D125:D126)</f>
        <v/>
      </c>
      <c r="E127" s="42">
        <f>SUM(E125:E126)</f>
        <v/>
      </c>
      <c r="F127" s="42">
        <f>SUM(F125:F126)</f>
        <v/>
      </c>
      <c r="G127" s="42">
        <f>SUM(G125:G126)</f>
        <v/>
      </c>
      <c r="H127" s="42">
        <f>SUM(H125:H126)</f>
        <v/>
      </c>
      <c r="I127" s="42">
        <f>SUM(I125:I126)</f>
        <v/>
      </c>
      <c r="J127" s="42">
        <f>SUM(J125:J126)</f>
        <v/>
      </c>
      <c r="K127" s="42">
        <f>SUM(K125:K126)</f>
        <v/>
      </c>
      <c r="L127" s="42">
        <f>SUM(L125:L126)</f>
        <v/>
      </c>
      <c r="M127" s="42">
        <f>SUM(M125:M126)</f>
        <v/>
      </c>
      <c r="N127" s="42">
        <f>SUM(N125:N126)</f>
        <v/>
      </c>
      <c r="O127" s="315">
        <f>SUM(C127:N127)</f>
        <v/>
      </c>
      <c r="P127" s="5" t="n"/>
      <c r="Q127" s="5" t="n"/>
    </row>
    <row r="128">
      <c r="B128" s="5" t="n"/>
      <c r="C128" s="5" t="n"/>
      <c r="D128" s="5" t="n"/>
      <c r="E128" s="5" t="n"/>
      <c r="F128" s="5" t="n"/>
      <c r="G128" s="5" t="n"/>
      <c r="H128" s="5" t="n"/>
      <c r="I128" s="5" t="n"/>
      <c r="J128" s="5" t="n"/>
      <c r="K128" s="5" t="n"/>
      <c r="L128" s="5" t="n"/>
      <c r="M128" s="5" t="n"/>
      <c r="N128" s="5" t="n"/>
      <c r="O128" s="5" t="n"/>
      <c r="P128" s="5" t="n"/>
      <c r="Q128" s="5" t="n"/>
    </row>
    <row r="129">
      <c r="B129" s="5" t="n"/>
      <c r="C129" s="5" t="n"/>
      <c r="D129" s="5" t="n"/>
      <c r="E129" s="5" t="n"/>
      <c r="F129" s="5" t="n"/>
      <c r="G129" s="5" t="n"/>
      <c r="H129" s="5" t="n"/>
      <c r="I129" s="5" t="n"/>
      <c r="J129" s="5" t="n"/>
      <c r="K129" s="5" t="n"/>
      <c r="L129" s="5" t="n"/>
      <c r="M129" s="5" t="n"/>
      <c r="N129" s="5" t="n"/>
      <c r="O129" s="5" t="n"/>
      <c r="P129" s="5" t="n"/>
      <c r="Q129" s="5" t="n"/>
    </row>
    <row r="130">
      <c r="B130" s="5" t="n"/>
      <c r="C130" s="5" t="n"/>
      <c r="D130" s="5" t="n"/>
      <c r="E130" s="5" t="n"/>
      <c r="F130" s="5" t="n"/>
      <c r="G130" s="5" t="n"/>
      <c r="H130" s="5" t="n"/>
      <c r="I130" s="5" t="n"/>
      <c r="J130" s="5" t="n"/>
      <c r="K130" s="5" t="n"/>
      <c r="L130" s="5" t="n"/>
      <c r="M130" s="5" t="n"/>
      <c r="N130" s="5" t="n"/>
      <c r="O130" s="5" t="n"/>
      <c r="P130" s="5" t="n"/>
      <c r="Q130" s="5" t="n"/>
    </row>
    <row r="131" ht="13.8" customHeight="1" thickBot="1">
      <c r="B131" s="506" t="inlineStr">
        <is>
          <t>Amortization of Start-Up Costs</t>
        </is>
      </c>
      <c r="C131" s="506" t="n"/>
      <c r="D131" s="506" t="inlineStr">
        <is>
          <t>Monthly</t>
        </is>
      </c>
      <c r="E131" s="5" t="n"/>
      <c r="F131" s="5" t="n"/>
      <c r="G131" s="5" t="n"/>
      <c r="H131" s="5" t="n"/>
      <c r="I131" s="5" t="n"/>
      <c r="J131" s="5" t="n"/>
      <c r="K131" s="5" t="n"/>
      <c r="L131" s="5" t="n"/>
      <c r="M131" s="5" t="n"/>
      <c r="N131" s="5" t="n"/>
      <c r="O131" s="5" t="n"/>
      <c r="P131" s="5" t="n"/>
      <c r="Q131" s="5" t="n"/>
    </row>
    <row r="132" ht="13.8" customHeight="1" thickTop="1">
      <c r="B132" s="322" t="inlineStr">
        <is>
          <t>Prepaid Expenses</t>
        </is>
      </c>
      <c r="C132" s="323">
        <f>TotalOperatingCapital-Working_Capital-Inventory-OtherStartUp</f>
        <v/>
      </c>
      <c r="D132" s="322" t="n"/>
      <c r="E132" s="5" t="n"/>
      <c r="F132" s="5" t="n"/>
      <c r="G132" s="5" t="n"/>
      <c r="H132" s="5" t="n"/>
      <c r="I132" s="5" t="n"/>
      <c r="J132" s="5" t="n"/>
      <c r="K132" s="5" t="n"/>
      <c r="L132" s="5" t="n"/>
      <c r="M132" s="5" t="n"/>
      <c r="N132" s="5" t="n"/>
      <c r="O132" s="5" t="n"/>
      <c r="P132" s="5" t="n"/>
      <c r="Q132" s="5" t="n"/>
    </row>
    <row r="133">
      <c r="B133" s="7" t="inlineStr">
        <is>
          <t>Total Expensed each Year</t>
        </is>
      </c>
      <c r="C133" s="60">
        <f>IF('4-AdditionalInputs'!C44=0,0,'Amortization&amp;Depreciation'!C132/'4-AdditionalInputs'!C44)</f>
        <v/>
      </c>
      <c r="D133" s="242">
        <f>+C133/12</f>
        <v/>
      </c>
      <c r="E133" s="5" t="n"/>
      <c r="F133" s="5" t="n"/>
      <c r="G133" s="5" t="n"/>
      <c r="H133" s="5" t="n"/>
      <c r="I133" s="5" t="n"/>
      <c r="J133" s="5" t="n"/>
      <c r="K133" s="5" t="n"/>
      <c r="L133" s="5" t="n"/>
      <c r="M133" s="5" t="n"/>
      <c r="N133" s="5" t="n"/>
      <c r="O133" s="5" t="n"/>
      <c r="P133" s="5" t="n"/>
      <c r="Q133" s="5" t="n"/>
    </row>
    <row r="134">
      <c r="B134" s="7" t="inlineStr">
        <is>
          <t>Other Initial Costs</t>
        </is>
      </c>
      <c r="C134" s="60">
        <f>+OtherStartUp</f>
        <v/>
      </c>
      <c r="D134" s="7" t="n"/>
      <c r="E134" s="5" t="n"/>
      <c r="F134" s="5" t="n"/>
      <c r="G134" s="5" t="n"/>
      <c r="H134" s="5" t="n"/>
      <c r="I134" s="5" t="n"/>
      <c r="J134" s="5" t="n"/>
      <c r="K134" s="5" t="n"/>
      <c r="L134" s="5" t="n"/>
      <c r="M134" s="5" t="n"/>
      <c r="N134" s="5" t="n"/>
      <c r="O134" s="5" t="n"/>
      <c r="P134" s="5" t="n"/>
      <c r="Q134" s="5" t="n"/>
    </row>
    <row r="135">
      <c r="B135" s="7" t="inlineStr">
        <is>
          <t>Total Expensed each Year</t>
        </is>
      </c>
      <c r="C135" s="60">
        <f>IF('4-AdditionalInputs'!C44=0,0,C134/'4-AdditionalInputs'!C44)</f>
        <v/>
      </c>
      <c r="D135" s="242">
        <f>+C135/12</f>
        <v/>
      </c>
      <c r="E135" s="5" t="n"/>
      <c r="F135" s="5" t="n"/>
      <c r="G135" s="5" t="n"/>
      <c r="H135" s="5" t="n"/>
      <c r="I135" s="5" t="n"/>
      <c r="J135" s="5" t="n"/>
      <c r="K135" s="5" t="n"/>
      <c r="L135" s="5" t="n"/>
      <c r="M135" s="5" t="n"/>
      <c r="N135" s="5" t="n"/>
      <c r="O135" s="5" t="n"/>
      <c r="P135" s="5" t="n"/>
      <c r="Q135" s="5" t="n"/>
    </row>
    <row r="136">
      <c r="B136" s="26" t="inlineStr">
        <is>
          <t>Prepaid Expenses</t>
        </is>
      </c>
      <c r="C136" s="43">
        <f>'3a-SalesForecastYear1'!$C$16</f>
        <v/>
      </c>
      <c r="D136" s="43">
        <f>'3a-SalesForecastYear1'!$D$16</f>
        <v/>
      </c>
      <c r="E136" s="43">
        <f>'3a-SalesForecastYear1'!$E$16</f>
        <v/>
      </c>
      <c r="F136" s="43">
        <f>'3a-SalesForecastYear1'!$F$16</f>
        <v/>
      </c>
      <c r="G136" s="43">
        <f>'3a-SalesForecastYear1'!$G$16</f>
        <v/>
      </c>
      <c r="H136" s="43">
        <f>'3a-SalesForecastYear1'!$H$16</f>
        <v/>
      </c>
      <c r="I136" s="43">
        <f>'3a-SalesForecastYear1'!$I$16</f>
        <v/>
      </c>
      <c r="J136" s="43">
        <f>'3a-SalesForecastYear1'!$J$16</f>
        <v/>
      </c>
      <c r="K136" s="43">
        <f>'3a-SalesForecastYear1'!$K$16</f>
        <v/>
      </c>
      <c r="L136" s="43">
        <f>'3a-SalesForecastYear1'!$L$16</f>
        <v/>
      </c>
      <c r="M136" s="43">
        <f>'3a-SalesForecastYear1'!$M$16</f>
        <v/>
      </c>
      <c r="N136" s="43">
        <f>'3a-SalesForecastYear1'!$N$16</f>
        <v/>
      </c>
      <c r="O136" s="43" t="inlineStr">
        <is>
          <t>Totals</t>
        </is>
      </c>
      <c r="P136" s="5" t="n"/>
      <c r="Q136" s="5" t="n"/>
    </row>
    <row r="137">
      <c r="B137" s="26" t="inlineStr">
        <is>
          <t>Year One</t>
        </is>
      </c>
      <c r="C137" s="30" t="n"/>
      <c r="D137" s="30" t="n"/>
      <c r="E137" s="30" t="n"/>
      <c r="F137" s="30" t="n"/>
      <c r="G137" s="30" t="n"/>
      <c r="H137" s="30" t="n"/>
      <c r="I137" s="30" t="n"/>
      <c r="J137" s="30" t="n"/>
      <c r="K137" s="30" t="n"/>
      <c r="L137" s="30" t="n"/>
      <c r="M137" s="30" t="n"/>
      <c r="N137" s="30" t="n"/>
      <c r="O137" s="30" t="n"/>
      <c r="P137" s="5" t="n"/>
      <c r="Q137" s="5" t="n"/>
    </row>
    <row r="138">
      <c r="B138" s="44" t="inlineStr">
        <is>
          <t>Amount Amortized</t>
        </is>
      </c>
      <c r="C138" s="41">
        <f>+D133</f>
        <v/>
      </c>
      <c r="D138" s="41">
        <f>IF(C139&lt;$C$132,$D$133,0)</f>
        <v/>
      </c>
      <c r="E138" s="41">
        <f>IF(D139&lt;$C$132,$D$133,0)</f>
        <v/>
      </c>
      <c r="F138" s="41">
        <f>IF(E139&lt;$C$132,$D$133,0)</f>
        <v/>
      </c>
      <c r="G138" s="41">
        <f>IF(F139&lt;$C$132,$D$133,0)</f>
        <v/>
      </c>
      <c r="H138" s="41">
        <f>IF(G139&lt;$C$132,$D$133,0)</f>
        <v/>
      </c>
      <c r="I138" s="41">
        <f>IF(H139&lt;$C$132,$D$133,0)</f>
        <v/>
      </c>
      <c r="J138" s="41">
        <f>IF(I139&lt;$C$132,$D$133,0)</f>
        <v/>
      </c>
      <c r="K138" s="41">
        <f>IF(J139&lt;$C$132,$D$133,0)</f>
        <v/>
      </c>
      <c r="L138" s="41">
        <f>IF(K139&lt;$C$132,$D$133,0)</f>
        <v/>
      </c>
      <c r="M138" s="41">
        <f>IF(L139&lt;$C$132,$D$133,0)</f>
        <v/>
      </c>
      <c r="N138" s="41">
        <f>IF(M139&lt;$C$132,$D$133,0)</f>
        <v/>
      </c>
      <c r="O138" s="315">
        <f>SUM(C138:N138)</f>
        <v/>
      </c>
      <c r="P138" s="5" t="n"/>
      <c r="Q138" s="5" t="n"/>
    </row>
    <row r="139">
      <c r="B139" s="44" t="inlineStr">
        <is>
          <t>Total Amortized</t>
        </is>
      </c>
      <c r="C139" s="42">
        <f>+C138</f>
        <v/>
      </c>
      <c r="D139" s="42">
        <f>+D138+C139</f>
        <v/>
      </c>
      <c r="E139" s="42">
        <f>+E138+D139</f>
        <v/>
      </c>
      <c r="F139" s="42">
        <f>+F138+E139</f>
        <v/>
      </c>
      <c r="G139" s="42">
        <f>+G138+F139</f>
        <v/>
      </c>
      <c r="H139" s="42">
        <f>+H138+G139</f>
        <v/>
      </c>
      <c r="I139" s="42">
        <f>+I138+H139</f>
        <v/>
      </c>
      <c r="J139" s="42">
        <f>+J138+I139</f>
        <v/>
      </c>
      <c r="K139" s="42">
        <f>+K138+J139</f>
        <v/>
      </c>
      <c r="L139" s="42">
        <f>+L138+K139</f>
        <v/>
      </c>
      <c r="M139" s="42">
        <f>+M138+L139</f>
        <v/>
      </c>
      <c r="N139" s="42">
        <f>+N138+M139</f>
        <v/>
      </c>
      <c r="O139" s="41" t="n"/>
      <c r="P139" s="5" t="n"/>
      <c r="Q139" s="5" t="n"/>
    </row>
    <row r="140">
      <c r="B140" s="26" t="inlineStr">
        <is>
          <t>Year Two</t>
        </is>
      </c>
      <c r="C140" s="30" t="n"/>
      <c r="D140" s="30" t="n"/>
      <c r="E140" s="30" t="n"/>
      <c r="F140" s="30" t="n"/>
      <c r="G140" s="30" t="n"/>
      <c r="H140" s="30" t="n"/>
      <c r="I140" s="30" t="n"/>
      <c r="J140" s="30" t="n"/>
      <c r="K140" s="30" t="n"/>
      <c r="L140" s="30" t="n"/>
      <c r="M140" s="30" t="n"/>
      <c r="N140" s="30" t="n"/>
      <c r="O140" s="41" t="n"/>
      <c r="P140" s="5" t="n"/>
      <c r="Q140" s="5" t="n"/>
    </row>
    <row r="141">
      <c r="B141" s="44" t="inlineStr">
        <is>
          <t>Amount Amortized</t>
        </is>
      </c>
      <c r="C141" s="41">
        <f>IF(N139&lt;$C$132,$D$133,0)</f>
        <v/>
      </c>
      <c r="D141" s="41">
        <f>IF(C142&lt;$C$132,$D$133,0)</f>
        <v/>
      </c>
      <c r="E141" s="41">
        <f>IF(D142&lt;$C$132,$D$133,0)</f>
        <v/>
      </c>
      <c r="F141" s="41">
        <f>IF(E142&lt;$C$132,$D$133,0)</f>
        <v/>
      </c>
      <c r="G141" s="41">
        <f>IF(F142&lt;$C$132,$D$133,0)</f>
        <v/>
      </c>
      <c r="H141" s="41">
        <f>IF(G142&lt;$C$132,$D$133,0)</f>
        <v/>
      </c>
      <c r="I141" s="41">
        <f>IF(H142&lt;$C$132,$D$133,0)</f>
        <v/>
      </c>
      <c r="J141" s="41">
        <f>IF(I142&lt;$C$132,$D$133,0)</f>
        <v/>
      </c>
      <c r="K141" s="41">
        <f>IF(J142&lt;$C$132,$D$133,0)</f>
        <v/>
      </c>
      <c r="L141" s="41">
        <f>IF(K142&lt;$C$132,$D$133,0)</f>
        <v/>
      </c>
      <c r="M141" s="41">
        <f>IF(L142&lt;$C$132,$D$133,0)</f>
        <v/>
      </c>
      <c r="N141" s="41">
        <f>IF(M142&lt;$C$132,$D$133,0)</f>
        <v/>
      </c>
      <c r="O141" s="315">
        <f>SUM(C141:N141)</f>
        <v/>
      </c>
      <c r="P141" s="5" t="n"/>
      <c r="Q141" s="5" t="n"/>
    </row>
    <row r="142">
      <c r="B142" s="44" t="inlineStr">
        <is>
          <t>Total Amortized</t>
        </is>
      </c>
      <c r="C142" s="42">
        <f>+C141+N139</f>
        <v/>
      </c>
      <c r="D142" s="42">
        <f>+D141+C142</f>
        <v/>
      </c>
      <c r="E142" s="42">
        <f>+E141+D142</f>
        <v/>
      </c>
      <c r="F142" s="42">
        <f>+F141+E142</f>
        <v/>
      </c>
      <c r="G142" s="42">
        <f>+G141+F142</f>
        <v/>
      </c>
      <c r="H142" s="42">
        <f>+H141+G142</f>
        <v/>
      </c>
      <c r="I142" s="42">
        <f>+I141+H142</f>
        <v/>
      </c>
      <c r="J142" s="42">
        <f>+J141+I142</f>
        <v/>
      </c>
      <c r="K142" s="42">
        <f>+K141+J142</f>
        <v/>
      </c>
      <c r="L142" s="42">
        <f>+L141+K142</f>
        <v/>
      </c>
      <c r="M142" s="42">
        <f>+M141+L142</f>
        <v/>
      </c>
      <c r="N142" s="42">
        <f>+N141+M142</f>
        <v/>
      </c>
      <c r="O142" s="41" t="n"/>
      <c r="P142" s="5" t="n"/>
      <c r="Q142" s="5" t="n"/>
    </row>
    <row r="143">
      <c r="B143" s="26" t="inlineStr">
        <is>
          <t>Year Three</t>
        </is>
      </c>
      <c r="C143" s="30" t="n"/>
      <c r="D143" s="30" t="n"/>
      <c r="E143" s="30" t="n"/>
      <c r="F143" s="30" t="n"/>
      <c r="G143" s="30" t="n"/>
      <c r="H143" s="30" t="n"/>
      <c r="I143" s="30" t="n"/>
      <c r="J143" s="30" t="n"/>
      <c r="K143" s="30" t="n"/>
      <c r="L143" s="30" t="n"/>
      <c r="M143" s="30" t="n"/>
      <c r="N143" s="30" t="n"/>
      <c r="O143" s="41" t="n"/>
      <c r="P143" s="5" t="n"/>
      <c r="Q143" s="5" t="n"/>
    </row>
    <row r="144">
      <c r="B144" s="44" t="inlineStr">
        <is>
          <t>Amount Amortized</t>
        </is>
      </c>
      <c r="C144" s="41">
        <f>IF(N142&lt;$C$132,$D$133,0)</f>
        <v/>
      </c>
      <c r="D144" s="41">
        <f>IF(C145&lt;$C$132,$D$133,0)</f>
        <v/>
      </c>
      <c r="E144" s="41">
        <f>IF(D145&lt;$C$132,$D$133,0)</f>
        <v/>
      </c>
      <c r="F144" s="41">
        <f>IF(E145&lt;$C$132,$D$133,0)</f>
        <v/>
      </c>
      <c r="G144" s="41">
        <f>IF(F145&lt;$C$132,$D$133,0)</f>
        <v/>
      </c>
      <c r="H144" s="41">
        <f>IF(G145&lt;$C$132,$D$133,0)</f>
        <v/>
      </c>
      <c r="I144" s="41">
        <f>IF(H145&lt;$C$132,$D$133,0)</f>
        <v/>
      </c>
      <c r="J144" s="41">
        <f>IF(I145&lt;$C$132,$D$133,0)</f>
        <v/>
      </c>
      <c r="K144" s="41">
        <f>IF(J145&lt;$C$132,$D$133,0)</f>
        <v/>
      </c>
      <c r="L144" s="41">
        <f>IF(K145&lt;$C$132,$D$133,0)</f>
        <v/>
      </c>
      <c r="M144" s="41">
        <f>IF(L145&lt;$C$132,$D$133,0)</f>
        <v/>
      </c>
      <c r="N144" s="41">
        <f>IF(M145&lt;$C$132,$D$133,0)</f>
        <v/>
      </c>
      <c r="O144" s="315">
        <f>SUM(C144:N144)</f>
        <v/>
      </c>
      <c r="P144" s="5" t="n"/>
      <c r="Q144" s="5" t="n"/>
    </row>
    <row r="145">
      <c r="B145" s="44" t="inlineStr">
        <is>
          <t>Total Amortized</t>
        </is>
      </c>
      <c r="C145" s="42">
        <f>+C144+N142</f>
        <v/>
      </c>
      <c r="D145" s="42">
        <f>+D144+C145</f>
        <v/>
      </c>
      <c r="E145" s="42">
        <f>+E144+D145</f>
        <v/>
      </c>
      <c r="F145" s="42">
        <f>+F144+E145</f>
        <v/>
      </c>
      <c r="G145" s="42">
        <f>+G144+F145</f>
        <v/>
      </c>
      <c r="H145" s="42">
        <f>+H144+G145</f>
        <v/>
      </c>
      <c r="I145" s="42">
        <f>+I144+H145</f>
        <v/>
      </c>
      <c r="J145" s="42">
        <f>+J144+I145</f>
        <v/>
      </c>
      <c r="K145" s="42">
        <f>+K144+J145</f>
        <v/>
      </c>
      <c r="L145" s="42">
        <f>+L144+K145</f>
        <v/>
      </c>
      <c r="M145" s="42">
        <f>+M144+L145</f>
        <v/>
      </c>
      <c r="N145" s="42">
        <f>+N144+M145</f>
        <v/>
      </c>
      <c r="O145" s="41" t="n"/>
      <c r="P145" s="5" t="n"/>
      <c r="Q145" s="5" t="n"/>
    </row>
    <row r="146">
      <c r="B146" s="5" t="n"/>
      <c r="C146" s="5" t="n"/>
      <c r="D146" s="5" t="n"/>
      <c r="E146" s="5" t="n"/>
      <c r="F146" s="5" t="n"/>
      <c r="G146" s="5" t="n"/>
      <c r="H146" s="5" t="n"/>
      <c r="I146" s="5" t="n"/>
      <c r="J146" s="5" t="n"/>
      <c r="K146" s="5" t="n"/>
      <c r="L146" s="5" t="n"/>
      <c r="M146" s="5" t="n"/>
      <c r="N146" s="5" t="n"/>
      <c r="O146" s="5" t="n"/>
      <c r="P146" s="5" t="n"/>
      <c r="Q146" s="5" t="n"/>
    </row>
    <row r="147" ht="13.8" customHeight="1" thickBot="1">
      <c r="B147" s="506" t="inlineStr">
        <is>
          <t>Other Initial Costs</t>
        </is>
      </c>
      <c r="C147" s="506">
        <f>'3a-SalesForecastYear1'!$C$16</f>
        <v/>
      </c>
      <c r="D147" s="506">
        <f>'3a-SalesForecastYear1'!$D$16</f>
        <v/>
      </c>
      <c r="E147" s="506">
        <f>'3a-SalesForecastYear1'!$E$16</f>
        <v/>
      </c>
      <c r="F147" s="506">
        <f>'3a-SalesForecastYear1'!$F$16</f>
        <v/>
      </c>
      <c r="G147" s="506">
        <f>'3a-SalesForecastYear1'!$G$16</f>
        <v/>
      </c>
      <c r="H147" s="506">
        <f>'3a-SalesForecastYear1'!$H$16</f>
        <v/>
      </c>
      <c r="I147" s="506">
        <f>'3a-SalesForecastYear1'!$I$16</f>
        <v/>
      </c>
      <c r="J147" s="506">
        <f>'3a-SalesForecastYear1'!$J$16</f>
        <v/>
      </c>
      <c r="K147" s="506">
        <f>'3a-SalesForecastYear1'!$K$16</f>
        <v/>
      </c>
      <c r="L147" s="506">
        <f>'3a-SalesForecastYear1'!$L$16</f>
        <v/>
      </c>
      <c r="M147" s="506">
        <f>'3a-SalesForecastYear1'!$M$16</f>
        <v/>
      </c>
      <c r="N147" s="506">
        <f>'3a-SalesForecastYear1'!$N$16</f>
        <v/>
      </c>
      <c r="O147" s="506" t="inlineStr">
        <is>
          <t>Totals</t>
        </is>
      </c>
      <c r="P147" s="5" t="n"/>
      <c r="Q147" s="5" t="n"/>
    </row>
    <row r="148" ht="13.8" customHeight="1" thickTop="1">
      <c r="B148" s="150" t="inlineStr">
        <is>
          <t>Year One</t>
        </is>
      </c>
      <c r="C148" s="343" t="n"/>
      <c r="D148" s="343" t="n"/>
      <c r="E148" s="343" t="n"/>
      <c r="F148" s="343" t="n"/>
      <c r="G148" s="343" t="n"/>
      <c r="H148" s="343" t="n"/>
      <c r="I148" s="343" t="n"/>
      <c r="J148" s="343" t="n"/>
      <c r="K148" s="343" t="n"/>
      <c r="L148" s="343" t="n"/>
      <c r="M148" s="343" t="n"/>
      <c r="N148" s="343" t="n"/>
      <c r="O148" s="343" t="n"/>
      <c r="P148" s="5" t="n"/>
      <c r="Q148" s="5" t="n"/>
    </row>
    <row r="149">
      <c r="B149" s="44" t="inlineStr">
        <is>
          <t>Amount Amortized</t>
        </is>
      </c>
      <c r="C149" s="41">
        <f>+D135</f>
        <v/>
      </c>
      <c r="D149" s="41">
        <f>IF(C150&lt;$C$134,$D$135,0)</f>
        <v/>
      </c>
      <c r="E149" s="41">
        <f>IF(D150&lt;$C$134,$D$135,0)</f>
        <v/>
      </c>
      <c r="F149" s="41">
        <f>IF(E150&lt;$C$134,$D$135,0)</f>
        <v/>
      </c>
      <c r="G149" s="41">
        <f>IF(F150&lt;$C$134,$D$135,0)</f>
        <v/>
      </c>
      <c r="H149" s="41">
        <f>IF(G150&lt;$C$134,$D$135,0)</f>
        <v/>
      </c>
      <c r="I149" s="41">
        <f>IF(H150&lt;$C$134,$D$135,0)</f>
        <v/>
      </c>
      <c r="J149" s="41">
        <f>IF(I150&lt;$C$134,$D$135,0)</f>
        <v/>
      </c>
      <c r="K149" s="41">
        <f>IF(J150&lt;$C$134,$D$135,0)</f>
        <v/>
      </c>
      <c r="L149" s="41">
        <f>IF(K150&lt;$C$134,$D$135,0)</f>
        <v/>
      </c>
      <c r="M149" s="41">
        <f>IF(L150&lt;$C$134,$D$135,0)</f>
        <v/>
      </c>
      <c r="N149" s="41">
        <f>IF(M150&lt;$C$134,$D$135,0)</f>
        <v/>
      </c>
      <c r="O149" s="315">
        <f>SUM(C149:N149)</f>
        <v/>
      </c>
      <c r="P149" s="5" t="n"/>
      <c r="Q149" s="5" t="n"/>
    </row>
    <row r="150">
      <c r="B150" s="44" t="inlineStr">
        <is>
          <t>Total Amortized</t>
        </is>
      </c>
      <c r="C150" s="42">
        <f>+C149</f>
        <v/>
      </c>
      <c r="D150" s="42">
        <f>+D149+C150</f>
        <v/>
      </c>
      <c r="E150" s="42">
        <f>+E149+D150</f>
        <v/>
      </c>
      <c r="F150" s="42">
        <f>+F149+E150</f>
        <v/>
      </c>
      <c r="G150" s="42">
        <f>+G149+F150</f>
        <v/>
      </c>
      <c r="H150" s="42">
        <f>+H149+G150</f>
        <v/>
      </c>
      <c r="I150" s="42">
        <f>+I149+H150</f>
        <v/>
      </c>
      <c r="J150" s="42">
        <f>+J149+I150</f>
        <v/>
      </c>
      <c r="K150" s="42">
        <f>+K149+J150</f>
        <v/>
      </c>
      <c r="L150" s="42">
        <f>+L149+K150</f>
        <v/>
      </c>
      <c r="M150" s="42">
        <f>+M149+L150</f>
        <v/>
      </c>
      <c r="N150" s="42">
        <f>+N149+M150</f>
        <v/>
      </c>
      <c r="O150" s="41" t="n"/>
      <c r="P150" s="5" t="n"/>
      <c r="Q150" s="5" t="n"/>
    </row>
    <row r="151">
      <c r="B151" s="26" t="inlineStr">
        <is>
          <t>Year Two</t>
        </is>
      </c>
      <c r="C151" s="30" t="n"/>
      <c r="D151" s="30" t="n"/>
      <c r="E151" s="30" t="n"/>
      <c r="F151" s="30" t="n"/>
      <c r="G151" s="30" t="n"/>
      <c r="H151" s="30" t="n"/>
      <c r="I151" s="30" t="n"/>
      <c r="J151" s="30" t="n"/>
      <c r="K151" s="30" t="n"/>
      <c r="L151" s="30" t="n"/>
      <c r="M151" s="30" t="n"/>
      <c r="N151" s="30" t="n"/>
      <c r="O151" s="41" t="n"/>
      <c r="P151" s="5" t="n"/>
      <c r="Q151" s="5" t="n"/>
    </row>
    <row r="152">
      <c r="B152" s="44" t="inlineStr">
        <is>
          <t>Starting Depreciation</t>
        </is>
      </c>
      <c r="C152" s="41">
        <f>IF(N150&lt;$C$134,$D$135,0)</f>
        <v/>
      </c>
      <c r="D152" s="41">
        <f>IF(C153&lt;$C$134,$D$135,0)</f>
        <v/>
      </c>
      <c r="E152" s="41">
        <f>IF(D153&lt;$C$134,$D$135,0)</f>
        <v/>
      </c>
      <c r="F152" s="41">
        <f>IF(E153&lt;$C$134,$D$135,0)</f>
        <v/>
      </c>
      <c r="G152" s="41">
        <f>IF(F153&lt;$C$134,$D$135,0)</f>
        <v/>
      </c>
      <c r="H152" s="41">
        <f>IF(G153&lt;$C$134,$D$135,0)</f>
        <v/>
      </c>
      <c r="I152" s="41">
        <f>IF(H153&lt;$C$134,$D$135,0)</f>
        <v/>
      </c>
      <c r="J152" s="41">
        <f>IF(I153&lt;$C$134,$D$135,0)</f>
        <v/>
      </c>
      <c r="K152" s="41">
        <f>IF(J153&lt;$C$134,$D$135,0)</f>
        <v/>
      </c>
      <c r="L152" s="41">
        <f>IF(K153&lt;$C$134,$D$135,0)</f>
        <v/>
      </c>
      <c r="M152" s="41">
        <f>IF(L153&lt;$C$134,$D$135,0)</f>
        <v/>
      </c>
      <c r="N152" s="41">
        <f>IF(M153&lt;$C$134,$D$135,0)</f>
        <v/>
      </c>
      <c r="O152" s="315">
        <f>SUM(C152:N152)</f>
        <v/>
      </c>
      <c r="P152" s="5" t="n"/>
      <c r="Q152" s="5" t="n"/>
    </row>
    <row r="153">
      <c r="B153" s="44" t="inlineStr">
        <is>
          <t>Ending Depreciation</t>
        </is>
      </c>
      <c r="C153" s="42">
        <f>+C152+N150</f>
        <v/>
      </c>
      <c r="D153" s="42">
        <f>+D152+C153</f>
        <v/>
      </c>
      <c r="E153" s="42">
        <f>+E152+D153</f>
        <v/>
      </c>
      <c r="F153" s="42">
        <f>+F152+E153</f>
        <v/>
      </c>
      <c r="G153" s="42">
        <f>+G152+F153</f>
        <v/>
      </c>
      <c r="H153" s="42">
        <f>+H152+G153</f>
        <v/>
      </c>
      <c r="I153" s="42">
        <f>+I152+H153</f>
        <v/>
      </c>
      <c r="J153" s="42">
        <f>+J152+I153</f>
        <v/>
      </c>
      <c r="K153" s="42">
        <f>+K152+J153</f>
        <v/>
      </c>
      <c r="L153" s="42">
        <f>+L152+K153</f>
        <v/>
      </c>
      <c r="M153" s="42">
        <f>+M152+L153</f>
        <v/>
      </c>
      <c r="N153" s="42">
        <f>+N152+M153</f>
        <v/>
      </c>
      <c r="O153" s="41" t="n"/>
      <c r="P153" s="5" t="n"/>
      <c r="Q153" s="5" t="n"/>
    </row>
    <row r="154">
      <c r="B154" s="26" t="inlineStr">
        <is>
          <t>Year Three</t>
        </is>
      </c>
      <c r="C154" s="30" t="n"/>
      <c r="D154" s="30" t="n"/>
      <c r="E154" s="30" t="n"/>
      <c r="F154" s="30" t="n"/>
      <c r="G154" s="30" t="n"/>
      <c r="H154" s="30" t="n"/>
      <c r="I154" s="30" t="n"/>
      <c r="J154" s="30" t="n"/>
      <c r="K154" s="30" t="n"/>
      <c r="L154" s="30" t="n"/>
      <c r="M154" s="30" t="n"/>
      <c r="N154" s="30" t="n"/>
      <c r="O154" s="41" t="n"/>
      <c r="P154" s="5" t="n"/>
      <c r="Q154" s="5" t="n"/>
    </row>
    <row r="155">
      <c r="B155" s="44" t="inlineStr">
        <is>
          <t>Starting Depreciation</t>
        </is>
      </c>
      <c r="C155" s="41">
        <f>IF(N153&lt;$C$134,$D$135,0)</f>
        <v/>
      </c>
      <c r="D155" s="41">
        <f>IF(C156&lt;$C$134,$D$135,0)</f>
        <v/>
      </c>
      <c r="E155" s="41">
        <f>IF(D156&lt;$C$134,$D$135,0)</f>
        <v/>
      </c>
      <c r="F155" s="41">
        <f>IF(E156&lt;$C$134,$D$135,0)</f>
        <v/>
      </c>
      <c r="G155" s="41">
        <f>IF(F156&lt;$C$134,$D$135,0)</f>
        <v/>
      </c>
      <c r="H155" s="41">
        <f>IF(G156&lt;$C$134,$D$135,0)</f>
        <v/>
      </c>
      <c r="I155" s="41">
        <f>IF(H156&lt;$C$134,$D$135,0)</f>
        <v/>
      </c>
      <c r="J155" s="41">
        <f>IF(I156&lt;$C$134,$D$135,0)</f>
        <v/>
      </c>
      <c r="K155" s="41">
        <f>IF(J156&lt;$C$134,$D$135,0)</f>
        <v/>
      </c>
      <c r="L155" s="41">
        <f>IF(K156&lt;$C$134,$D$135,0)</f>
        <v/>
      </c>
      <c r="M155" s="41">
        <f>IF(L156&lt;$C$134,$D$135,0)</f>
        <v/>
      </c>
      <c r="N155" s="41">
        <f>IF(M156&lt;$C$134,$D$135,0)</f>
        <v/>
      </c>
      <c r="O155" s="315">
        <f>SUM(C155:N155)</f>
        <v/>
      </c>
      <c r="P155" s="5" t="n"/>
      <c r="Q155" s="5" t="n"/>
    </row>
    <row r="156">
      <c r="B156" s="44" t="inlineStr">
        <is>
          <t>Ending Deprecation</t>
        </is>
      </c>
      <c r="C156" s="42">
        <f>+C155+N153</f>
        <v/>
      </c>
      <c r="D156" s="42">
        <f>+D155+C156</f>
        <v/>
      </c>
      <c r="E156" s="42">
        <f>+E155+D156</f>
        <v/>
      </c>
      <c r="F156" s="42">
        <f>+F155+E156</f>
        <v/>
      </c>
      <c r="G156" s="42">
        <f>+G155+F156</f>
        <v/>
      </c>
      <c r="H156" s="42">
        <f>+H155+G156</f>
        <v/>
      </c>
      <c r="I156" s="42">
        <f>+I155+H156</f>
        <v/>
      </c>
      <c r="J156" s="42">
        <f>+J155+I156</f>
        <v/>
      </c>
      <c r="K156" s="42">
        <f>+K155+J156</f>
        <v/>
      </c>
      <c r="L156" s="42">
        <f>+L155+K156</f>
        <v/>
      </c>
      <c r="M156" s="42">
        <f>+M155+L156</f>
        <v/>
      </c>
      <c r="N156" s="42">
        <f>+N155+M156</f>
        <v/>
      </c>
      <c r="O156" s="41" t="n"/>
      <c r="P156" s="5" t="n"/>
      <c r="Q156" s="5" t="n"/>
    </row>
    <row r="157">
      <c r="B157" s="5" t="n"/>
      <c r="C157" s="5" t="n"/>
      <c r="D157" s="5" t="n"/>
      <c r="E157" s="5" t="n"/>
      <c r="F157" s="5" t="n"/>
      <c r="G157" s="5" t="n"/>
      <c r="H157" s="5" t="n"/>
      <c r="I157" s="5" t="n"/>
      <c r="J157" s="5" t="n"/>
      <c r="K157" s="5" t="n"/>
      <c r="L157" s="5" t="n"/>
      <c r="M157" s="5" t="n"/>
      <c r="N157" s="5" t="n"/>
      <c r="O157" s="5" t="n"/>
      <c r="P157" s="5" t="n"/>
      <c r="Q157" s="5" t="n"/>
    </row>
    <row r="158">
      <c r="B158" s="5" t="n"/>
      <c r="C158" s="5" t="n"/>
      <c r="D158" s="5" t="n"/>
      <c r="E158" s="5" t="n"/>
      <c r="F158" s="5" t="n"/>
      <c r="G158" s="5" t="n"/>
      <c r="H158" s="5" t="n"/>
      <c r="I158" s="5" t="n"/>
      <c r="J158" s="5" t="n"/>
      <c r="K158" s="5" t="n"/>
      <c r="L158" s="5" t="n"/>
      <c r="M158" s="5" t="n"/>
      <c r="N158" s="5" t="n"/>
      <c r="O158" s="5" t="n"/>
      <c r="P158" s="5" t="n"/>
      <c r="Q158" s="5" t="n"/>
    </row>
    <row r="159">
      <c r="B159" s="5" t="n"/>
      <c r="C159" s="5" t="n"/>
      <c r="D159" s="5" t="n"/>
      <c r="E159" s="5" t="n"/>
      <c r="F159" s="5" t="n"/>
      <c r="G159" s="5" t="n"/>
      <c r="H159" s="5" t="n"/>
      <c r="I159" s="5" t="n"/>
      <c r="J159" s="5" t="n"/>
      <c r="K159" s="5" t="n"/>
      <c r="L159" s="5" t="n"/>
      <c r="M159" s="5" t="n"/>
      <c r="N159" s="5" t="n"/>
      <c r="O159" s="5" t="n"/>
      <c r="P159" s="5" t="n"/>
      <c r="Q159" s="5" t="n"/>
    </row>
  </sheetData>
  <mergeCells count="8">
    <mergeCell ref="B68:C68"/>
    <mergeCell ref="B48:C48"/>
    <mergeCell ref="B28:C28"/>
    <mergeCell ref="E4:G6"/>
    <mergeCell ref="B108:C108"/>
    <mergeCell ref="B2:E2"/>
    <mergeCell ref="B88:C88"/>
    <mergeCell ref="B8:C8"/>
  </mergeCells>
  <hyperlinks>
    <hyperlink ref="E4" location="'1-StartingPoint'!A1" display="Return to Starting Point"/>
  </hyperlinks>
  <pageMargins left="0.25" right="0.25" top="0.75" bottom="0.75" header="0.3" footer="0.3"/>
  <pageSetup orientation="landscape" scale="71" fitToHeight="3"/>
  <headerFooter scaleWithDoc="0">
    <oddHeader>&amp;C&amp;"Gill Sans MT,Regular"&amp;12 Amortization and Depreciation Schedule</oddHeader>
    <oddFooter/>
    <evenHeader/>
    <evenFooter/>
    <firstHeader/>
    <firstFooter/>
  </headerFooter>
  <rowBreaks count="3" manualBreakCount="3">
    <brk id="46" min="1" max="14" man="1"/>
    <brk id="86" min="1" max="14" man="1"/>
    <brk id="129" min="1" max="1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Heather Hendy</dc:creator>
  <dc:title xmlns:dc="http://purl.org/dc/elements/1.1/">Simple Steps for Starting Your Business</dc:title>
  <dc:description xmlns:dc="http://purl.org/dc/elements/1.1/">This SCORE Workbook is designed to help start-up companies make financial projections that will allow them to make a "go-no go" decision about starting a new company.</dc:description>
  <dc:subject xmlns:dc="http://purl.org/dc/elements/1.1/">Business start-up financial forecast</dc:subject>
  <dcterms:created xmlns:dcterms="http://purl.org/dc/terms/" xmlns:xsi="http://www.w3.org/2001/XMLSchema-instance" xsi:type="dcterms:W3CDTF">2011-04-16T18:04:50Z</dcterms:created>
  <dcterms:modified xmlns:dcterms="http://purl.org/dc/terms/" xmlns:xsi="http://www.w3.org/2001/XMLSchema-instance" xsi:type="dcterms:W3CDTF">2026-04-22T16:40:18Z</dcterms:modified>
  <cp:lastModifiedBy>Candice Stennett</cp:lastModifiedBy>
  <cp:keywords>business, start-up, financial, forecast</cp:keywords>
  <cp:lastPrinted>2013-01-14T15:22:16Z</cp:lastPrinted>
</cp:coreProperties>
</file>

<file path=docProps/custom.xml><?xml version="1.0" encoding="utf-8"?>
<Properties xmlns="http://schemas.openxmlformats.org/officeDocument/2006/custom-properties">
  <property name="WorkbookGuid" fmtid="{D5CDD505-2E9C-101B-9397-08002B2CF9AE}" pid="2">
    <vt:lpwstr xmlns:vt="http://schemas.openxmlformats.org/officeDocument/2006/docPropsVTypes">bdb9afe3-6fa4-4010-9a16-909431229847</vt:lpwstr>
  </property>
</Properties>
</file>